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AI_test\practices\testcases\CIC\"/>
    </mc:Choice>
  </mc:AlternateContent>
  <xr:revisionPtr revIDLastSave="0" documentId="13_ncr:1_{A1BA4088-D049-4A32-B086-74CA43F9EC10}" xr6:coauthVersionLast="47" xr6:coauthVersionMax="47" xr10:uidLastSave="{00000000-0000-0000-0000-000000000000}"/>
  <bookViews>
    <workbookView xWindow="-120" yWindow="-120" windowWidth="29040" windowHeight="15720" xr2:uid="{00000000-000D-0000-FFFF-FFFF00000000}"/>
  </bookViews>
  <sheets>
    <sheet name="Tổng hợp" sheetId="1" r:id="rId1"/>
    <sheet name="M1_DanhSach" sheetId="2" r:id="rId2"/>
    <sheet name="M2_ChiTiet_D10D11" sheetId="3" r:id="rId3"/>
    <sheet name="M3_ChiTiet_Q11" sheetId="4" r:id="rId4"/>
    <sheet name="M4_XuLy_D10D11" sheetId="5" r:id="rId5"/>
    <sheet name="M5_XuLy_Q11" sheetId="6" r:id="rId6"/>
    <sheet name="M7_XuLyDongThoi" sheetId="7" r:id="rId7"/>
    <sheet name="M8_NghiepVu_TichHop"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8" i="8" l="1"/>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C11" i="8"/>
  <c r="C9" i="8"/>
  <c r="C8" i="8"/>
  <c r="C7" i="8"/>
  <c r="C10" i="8" s="1"/>
  <c r="F11" i="1" s="1"/>
  <c r="A339" i="7"/>
  <c r="A338" i="7"/>
  <c r="A337" i="7"/>
  <c r="A336" i="7"/>
  <c r="A335" i="7"/>
  <c r="A334" i="7"/>
  <c r="A333" i="7"/>
  <c r="A332" i="7"/>
  <c r="A331" i="7"/>
  <c r="A330" i="7"/>
  <c r="A328" i="7"/>
  <c r="A327" i="7"/>
  <c r="A326" i="7"/>
  <c r="A325" i="7"/>
  <c r="A324" i="7"/>
  <c r="A323" i="7"/>
  <c r="A322" i="7"/>
  <c r="A321" i="7"/>
  <c r="A320" i="7"/>
  <c r="A319" i="7"/>
  <c r="A318" i="7"/>
  <c r="A317" i="7"/>
  <c r="A316" i="7"/>
  <c r="A315" i="7"/>
  <c r="A314" i="7"/>
  <c r="A313" i="7"/>
  <c r="A312" i="7"/>
  <c r="A311" i="7"/>
  <c r="A310" i="7"/>
  <c r="A309" i="7"/>
  <c r="A308" i="7"/>
  <c r="A307" i="7"/>
  <c r="A306" i="7"/>
  <c r="A305" i="7"/>
  <c r="A304" i="7"/>
  <c r="A303" i="7"/>
  <c r="A302" i="7"/>
  <c r="A301" i="7"/>
  <c r="A300" i="7"/>
  <c r="A299" i="7"/>
  <c r="A298" i="7"/>
  <c r="A297" i="7"/>
  <c r="A296" i="7"/>
  <c r="A295" i="7"/>
  <c r="A294" i="7"/>
  <c r="A293" i="7"/>
  <c r="A292" i="7"/>
  <c r="A291" i="7"/>
  <c r="A290" i="7"/>
  <c r="A289" i="7"/>
  <c r="A288" i="7"/>
  <c r="A287" i="7"/>
  <c r="A286" i="7"/>
  <c r="A285" i="7"/>
  <c r="A284" i="7"/>
  <c r="A283" i="7"/>
  <c r="A282" i="7"/>
  <c r="A281" i="7"/>
  <c r="A280" i="7"/>
  <c r="A279" i="7"/>
  <c r="A278" i="7"/>
  <c r="A277" i="7"/>
  <c r="A276" i="7"/>
  <c r="A275" i="7"/>
  <c r="A274" i="7"/>
  <c r="A273" i="7"/>
  <c r="A272" i="7"/>
  <c r="A271" i="7"/>
  <c r="A270" i="7"/>
  <c r="A269" i="7"/>
  <c r="A268" i="7"/>
  <c r="A267" i="7"/>
  <c r="A266" i="7"/>
  <c r="A265" i="7"/>
  <c r="A264" i="7"/>
  <c r="A263" i="7"/>
  <c r="A262" i="7"/>
  <c r="A261" i="7"/>
  <c r="A260" i="7"/>
  <c r="A259" i="7"/>
  <c r="A258" i="7"/>
  <c r="A257" i="7"/>
  <c r="A256" i="7"/>
  <c r="A255" i="7"/>
  <c r="A254" i="7"/>
  <c r="A253" i="7"/>
  <c r="A252" i="7"/>
  <c r="A251" i="7"/>
  <c r="A250" i="7"/>
  <c r="A249" i="7"/>
  <c r="A247" i="7"/>
  <c r="A246" i="7"/>
  <c r="A245" i="7"/>
  <c r="A244" i="7"/>
  <c r="A243" i="7"/>
  <c r="A242" i="7"/>
  <c r="A241" i="7"/>
  <c r="A240" i="7"/>
  <c r="A239" i="7"/>
  <c r="A238" i="7"/>
  <c r="A237" i="7"/>
  <c r="A236" i="7"/>
  <c r="A235" i="7"/>
  <c r="A234" i="7"/>
  <c r="A233" i="7"/>
  <c r="A232" i="7"/>
  <c r="A231" i="7"/>
  <c r="A230" i="7"/>
  <c r="A229" i="7"/>
  <c r="A228" i="7"/>
  <c r="A227" i="7"/>
  <c r="A226" i="7"/>
  <c r="A225" i="7"/>
  <c r="A224" i="7"/>
  <c r="A223" i="7"/>
  <c r="A222" i="7"/>
  <c r="A221" i="7"/>
  <c r="A220" i="7"/>
  <c r="A219" i="7"/>
  <c r="A218" i="7"/>
  <c r="A217" i="7"/>
  <c r="A216" i="7"/>
  <c r="A215" i="7"/>
  <c r="A214" i="7"/>
  <c r="A213" i="7"/>
  <c r="A212" i="7"/>
  <c r="A211" i="7"/>
  <c r="A210" i="7"/>
  <c r="A209" i="7"/>
  <c r="A208" i="7"/>
  <c r="A207" i="7"/>
  <c r="A206" i="7"/>
  <c r="A205" i="7"/>
  <c r="A204" i="7"/>
  <c r="A203" i="7"/>
  <c r="A202" i="7"/>
  <c r="A201" i="7"/>
  <c r="A200" i="7"/>
  <c r="A199" i="7"/>
  <c r="A198" i="7"/>
  <c r="A197" i="7"/>
  <c r="A196" i="7"/>
  <c r="A195" i="7"/>
  <c r="A194" i="7"/>
  <c r="A193" i="7"/>
  <c r="A192" i="7"/>
  <c r="A191" i="7"/>
  <c r="A190" i="7"/>
  <c r="A189" i="7"/>
  <c r="A188" i="7"/>
  <c r="A187" i="7"/>
  <c r="A186" i="7"/>
  <c r="A185" i="7"/>
  <c r="A184" i="7"/>
  <c r="A183" i="7"/>
  <c r="A182" i="7"/>
  <c r="A181" i="7"/>
  <c r="A180" i="7"/>
  <c r="A179" i="7"/>
  <c r="A178" i="7"/>
  <c r="A177" i="7"/>
  <c r="A176" i="7"/>
  <c r="A175" i="7"/>
  <c r="A174" i="7"/>
  <c r="A173" i="7"/>
  <c r="A172" i="7"/>
  <c r="A171" i="7"/>
  <c r="A170" i="7"/>
  <c r="A169" i="7"/>
  <c r="A168" i="7"/>
  <c r="A167" i="7"/>
  <c r="A166" i="7"/>
  <c r="A165" i="7"/>
  <c r="A164" i="7"/>
  <c r="A163" i="7"/>
  <c r="A162" i="7"/>
  <c r="A161" i="7"/>
  <c r="A160" i="7"/>
  <c r="A159" i="7"/>
  <c r="A158" i="7"/>
  <c r="A157" i="7"/>
  <c r="A156" i="7"/>
  <c r="A155" i="7"/>
  <c r="A154" i="7"/>
  <c r="A153" i="7"/>
  <c r="A152" i="7"/>
  <c r="A151" i="7"/>
  <c r="A150" i="7"/>
  <c r="A149" i="7"/>
  <c r="A148" i="7"/>
  <c r="A147" i="7"/>
  <c r="A146" i="7"/>
  <c r="A145" i="7"/>
  <c r="A144" i="7"/>
  <c r="A143" i="7"/>
  <c r="A142" i="7"/>
  <c r="A141" i="7"/>
  <c r="A140" i="7"/>
  <c r="A139" i="7"/>
  <c r="A138" i="7"/>
  <c r="A137" i="7"/>
  <c r="A136" i="7"/>
  <c r="A135" i="7"/>
  <c r="A134" i="7"/>
  <c r="A133" i="7"/>
  <c r="A132" i="7"/>
  <c r="A131" i="7"/>
  <c r="A130" i="7"/>
  <c r="A129" i="7"/>
  <c r="A128" i="7"/>
  <c r="A127" i="7"/>
  <c r="A126" i="7"/>
  <c r="A125" i="7"/>
  <c r="A124" i="7"/>
  <c r="A123" i="7"/>
  <c r="A122" i="7"/>
  <c r="A121" i="7"/>
  <c r="A120" i="7"/>
  <c r="A119" i="7"/>
  <c r="A118" i="7"/>
  <c r="A117" i="7"/>
  <c r="A116" i="7"/>
  <c r="A115" i="7"/>
  <c r="A114" i="7"/>
  <c r="A113" i="7"/>
  <c r="A112" i="7"/>
  <c r="A111" i="7"/>
  <c r="A110" i="7"/>
  <c r="A109" i="7"/>
  <c r="A108" i="7"/>
  <c r="A107" i="7"/>
  <c r="A106" i="7"/>
  <c r="A105" i="7"/>
  <c r="A104" i="7"/>
  <c r="A103" i="7"/>
  <c r="A102" i="7"/>
  <c r="A101" i="7"/>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C11" i="7"/>
  <c r="C10" i="7" s="1"/>
  <c r="F10" i="1" s="1"/>
  <c r="C9" i="7"/>
  <c r="C8" i="7"/>
  <c r="C7" i="7"/>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C11" i="6"/>
  <c r="C10" i="6" s="1"/>
  <c r="F9" i="1" s="1"/>
  <c r="C9" i="6"/>
  <c r="C8" i="6"/>
  <c r="C7" i="6"/>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C11" i="5"/>
  <c r="C10" i="5"/>
  <c r="F8" i="1" s="1"/>
  <c r="C9" i="5"/>
  <c r="C8" i="5"/>
  <c r="C7" i="5"/>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C11" i="4"/>
  <c r="C9" i="4"/>
  <c r="C8" i="4"/>
  <c r="C10" i="4" s="1"/>
  <c r="F7" i="1" s="1"/>
  <c r="C7" i="4"/>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C11" i="3"/>
  <c r="G6" i="1" s="1"/>
  <c r="C9" i="3"/>
  <c r="C8" i="3"/>
  <c r="C7" i="3"/>
  <c r="A677" i="2"/>
  <c r="A676" i="2"/>
  <c r="A675" i="2"/>
  <c r="A674" i="2"/>
  <c r="A673" i="2"/>
  <c r="A672" i="2"/>
  <c r="A671" i="2"/>
  <c r="A670" i="2"/>
  <c r="A669" i="2"/>
  <c r="A668" i="2"/>
  <c r="A667" i="2"/>
  <c r="A666" i="2"/>
  <c r="A665" i="2"/>
  <c r="A664" i="2"/>
  <c r="A663" i="2"/>
  <c r="A662" i="2"/>
  <c r="A661" i="2"/>
  <c r="A660" i="2"/>
  <c r="A659" i="2"/>
  <c r="A658" i="2"/>
  <c r="A657" i="2"/>
  <c r="A656" i="2"/>
  <c r="A655" i="2"/>
  <c r="A654" i="2"/>
  <c r="A653" i="2"/>
  <c r="A652" i="2"/>
  <c r="A651" i="2"/>
  <c r="A650" i="2"/>
  <c r="A649" i="2"/>
  <c r="A648" i="2"/>
  <c r="A647" i="2"/>
  <c r="A646" i="2"/>
  <c r="A645" i="2"/>
  <c r="A644" i="2"/>
  <c r="A643" i="2"/>
  <c r="A642" i="2"/>
  <c r="A641" i="2"/>
  <c r="A640" i="2"/>
  <c r="A639" i="2"/>
  <c r="A638" i="2"/>
  <c r="A637" i="2"/>
  <c r="A636" i="2"/>
  <c r="A635" i="2"/>
  <c r="A634" i="2"/>
  <c r="A633" i="2"/>
  <c r="A632" i="2"/>
  <c r="A631" i="2"/>
  <c r="A630" i="2"/>
  <c r="A629" i="2"/>
  <c r="A628" i="2"/>
  <c r="A627" i="2"/>
  <c r="A626" i="2"/>
  <c r="A625" i="2"/>
  <c r="A624" i="2"/>
  <c r="A623" i="2"/>
  <c r="A622" i="2"/>
  <c r="A621" i="2"/>
  <c r="A620" i="2"/>
  <c r="A619" i="2"/>
  <c r="A618" i="2"/>
  <c r="A617" i="2"/>
  <c r="A616" i="2"/>
  <c r="A615" i="2"/>
  <c r="A614" i="2"/>
  <c r="A613" i="2"/>
  <c r="A612" i="2"/>
  <c r="A611" i="2"/>
  <c r="A610" i="2"/>
  <c r="A609" i="2"/>
  <c r="A608" i="2"/>
  <c r="A607" i="2"/>
  <c r="A606" i="2"/>
  <c r="A605" i="2"/>
  <c r="A604" i="2"/>
  <c r="A602" i="2"/>
  <c r="A601" i="2"/>
  <c r="A600" i="2"/>
  <c r="A599" i="2"/>
  <c r="A598" i="2"/>
  <c r="A597" i="2"/>
  <c r="A596" i="2"/>
  <c r="A595" i="2"/>
  <c r="A594" i="2"/>
  <c r="A593" i="2"/>
  <c r="A592" i="2"/>
  <c r="A591" i="2"/>
  <c r="A590" i="2"/>
  <c r="A589" i="2"/>
  <c r="A588" i="2"/>
  <c r="A587" i="2"/>
  <c r="A586" i="2"/>
  <c r="A585" i="2"/>
  <c r="A584" i="2"/>
  <c r="A583" i="2"/>
  <c r="A582" i="2"/>
  <c r="A581" i="2"/>
  <c r="A580" i="2"/>
  <c r="A579" i="2"/>
  <c r="A578" i="2"/>
  <c r="A577" i="2"/>
  <c r="A576" i="2"/>
  <c r="A575" i="2"/>
  <c r="A574" i="2"/>
  <c r="A573" i="2"/>
  <c r="A572" i="2"/>
  <c r="A571" i="2"/>
  <c r="A570" i="2"/>
  <c r="A569" i="2"/>
  <c r="A568" i="2"/>
  <c r="A567" i="2"/>
  <c r="A566" i="2"/>
  <c r="A565" i="2"/>
  <c r="A564" i="2"/>
  <c r="A563" i="2"/>
  <c r="A562" i="2"/>
  <c r="A561" i="2"/>
  <c r="A560" i="2"/>
  <c r="A559" i="2"/>
  <c r="A558" i="2"/>
  <c r="A557" i="2"/>
  <c r="A556" i="2"/>
  <c r="A555" i="2"/>
  <c r="A554" i="2"/>
  <c r="A553" i="2"/>
  <c r="A552" i="2"/>
  <c r="A551" i="2"/>
  <c r="A550" i="2"/>
  <c r="A549" i="2"/>
  <c r="A548" i="2"/>
  <c r="A547" i="2"/>
  <c r="A546" i="2"/>
  <c r="A545" i="2"/>
  <c r="A544" i="2"/>
  <c r="A543" i="2"/>
  <c r="A542" i="2"/>
  <c r="A541" i="2"/>
  <c r="A540" i="2"/>
  <c r="A539" i="2"/>
  <c r="A538" i="2"/>
  <c r="A537" i="2"/>
  <c r="A536" i="2"/>
  <c r="A535" i="2"/>
  <c r="A534" i="2"/>
  <c r="A533" i="2"/>
  <c r="A532" i="2"/>
  <c r="A531" i="2"/>
  <c r="A530" i="2"/>
  <c r="A529" i="2"/>
  <c r="A528" i="2"/>
  <c r="A527" i="2"/>
  <c r="A526" i="2"/>
  <c r="A525" i="2"/>
  <c r="A524" i="2"/>
  <c r="A523" i="2"/>
  <c r="A522" i="2"/>
  <c r="A521" i="2"/>
  <c r="A520" i="2"/>
  <c r="A519" i="2"/>
  <c r="A518" i="2"/>
  <c r="A517" i="2"/>
  <c r="A516" i="2"/>
  <c r="A515" i="2"/>
  <c r="A514" i="2"/>
  <c r="A513" i="2"/>
  <c r="A512" i="2"/>
  <c r="A511" i="2"/>
  <c r="A510" i="2"/>
  <c r="A509" i="2"/>
  <c r="A508" i="2"/>
  <c r="A507" i="2"/>
  <c r="A506" i="2"/>
  <c r="A505" i="2"/>
  <c r="A504" i="2"/>
  <c r="A503" i="2"/>
  <c r="A502" i="2"/>
  <c r="A501" i="2"/>
  <c r="A500" i="2"/>
  <c r="A499" i="2"/>
  <c r="A498" i="2"/>
  <c r="A497" i="2"/>
  <c r="A496" i="2"/>
  <c r="A495" i="2"/>
  <c r="A494" i="2"/>
  <c r="A493" i="2"/>
  <c r="A492" i="2"/>
  <c r="A491" i="2"/>
  <c r="A490" i="2"/>
  <c r="A489" i="2"/>
  <c r="A488" i="2"/>
  <c r="A487" i="2"/>
  <c r="A486" i="2"/>
  <c r="A485" i="2"/>
  <c r="A484" i="2"/>
  <c r="A483" i="2"/>
  <c r="A482" i="2"/>
  <c r="A481" i="2"/>
  <c r="A480" i="2"/>
  <c r="A479" i="2"/>
  <c r="A478" i="2"/>
  <c r="A477" i="2"/>
  <c r="A476" i="2"/>
  <c r="A475" i="2"/>
  <c r="A474" i="2"/>
  <c r="A473" i="2"/>
  <c r="A472" i="2"/>
  <c r="A471" i="2"/>
  <c r="A470" i="2"/>
  <c r="A469" i="2"/>
  <c r="A468" i="2"/>
  <c r="A467" i="2"/>
  <c r="A466" i="2"/>
  <c r="A465" i="2"/>
  <c r="A464" i="2"/>
  <c r="A463" i="2"/>
  <c r="A462" i="2"/>
  <c r="A461" i="2"/>
  <c r="A460" i="2"/>
  <c r="A459" i="2"/>
  <c r="A458" i="2"/>
  <c r="A457" i="2"/>
  <c r="A456" i="2"/>
  <c r="A455" i="2"/>
  <c r="A454" i="2"/>
  <c r="A453" i="2"/>
  <c r="A452" i="2"/>
  <c r="A451" i="2"/>
  <c r="A450" i="2"/>
  <c r="A449" i="2"/>
  <c r="A448" i="2"/>
  <c r="A447" i="2"/>
  <c r="A446" i="2"/>
  <c r="A445" i="2"/>
  <c r="A444" i="2"/>
  <c r="A443" i="2"/>
  <c r="A442" i="2"/>
  <c r="A441" i="2"/>
  <c r="A440" i="2"/>
  <c r="A439" i="2"/>
  <c r="A438" i="2"/>
  <c r="A437" i="2"/>
  <c r="A436" i="2"/>
  <c r="A435" i="2"/>
  <c r="A434" i="2"/>
  <c r="A433" i="2"/>
  <c r="A432" i="2"/>
  <c r="A431" i="2"/>
  <c r="A430" i="2"/>
  <c r="A429" i="2"/>
  <c r="A428" i="2"/>
  <c r="A427" i="2"/>
  <c r="A426" i="2"/>
  <c r="A425" i="2"/>
  <c r="A424" i="2"/>
  <c r="A423" i="2"/>
  <c r="A422" i="2"/>
  <c r="A421" i="2"/>
  <c r="A420" i="2"/>
  <c r="A419" i="2"/>
  <c r="A418" i="2"/>
  <c r="A417" i="2"/>
  <c r="A416" i="2"/>
  <c r="A415" i="2"/>
  <c r="A414" i="2"/>
  <c r="A413" i="2"/>
  <c r="A412" i="2"/>
  <c r="A411" i="2"/>
  <c r="A410" i="2"/>
  <c r="A409" i="2"/>
  <c r="A408" i="2"/>
  <c r="A407" i="2"/>
  <c r="A406" i="2"/>
  <c r="A405" i="2"/>
  <c r="A404" i="2"/>
  <c r="A403" i="2"/>
  <c r="A402" i="2"/>
  <c r="A401" i="2"/>
  <c r="A400" i="2"/>
  <c r="A399" i="2"/>
  <c r="A398" i="2"/>
  <c r="A397" i="2"/>
  <c r="A396" i="2"/>
  <c r="A395" i="2"/>
  <c r="A394" i="2"/>
  <c r="A393" i="2"/>
  <c r="A392" i="2"/>
  <c r="A391" i="2"/>
  <c r="A390" i="2"/>
  <c r="A389" i="2"/>
  <c r="A388" i="2"/>
  <c r="A387" i="2"/>
  <c r="A386" i="2"/>
  <c r="A385" i="2"/>
  <c r="A384" i="2"/>
  <c r="A383" i="2"/>
  <c r="A382" i="2"/>
  <c r="A381" i="2"/>
  <c r="A380" i="2"/>
  <c r="A379" i="2"/>
  <c r="A378" i="2"/>
  <c r="A377" i="2"/>
  <c r="A376" i="2"/>
  <c r="A375" i="2"/>
  <c r="A374" i="2"/>
  <c r="A373" i="2"/>
  <c r="A372" i="2"/>
  <c r="A371" i="2"/>
  <c r="A370" i="2"/>
  <c r="A369" i="2"/>
  <c r="A368" i="2"/>
  <c r="A367" i="2"/>
  <c r="A366" i="2"/>
  <c r="A365" i="2"/>
  <c r="A364" i="2"/>
  <c r="A363" i="2"/>
  <c r="A362" i="2"/>
  <c r="A361" i="2"/>
  <c r="A360" i="2"/>
  <c r="A359" i="2"/>
  <c r="A358" i="2"/>
  <c r="A357" i="2"/>
  <c r="A356" i="2"/>
  <c r="A355" i="2"/>
  <c r="A354" i="2"/>
  <c r="A353" i="2"/>
  <c r="A352" i="2"/>
  <c r="A351" i="2"/>
  <c r="A350" i="2"/>
  <c r="A349" i="2"/>
  <c r="A348" i="2"/>
  <c r="A347" i="2"/>
  <c r="A346" i="2"/>
  <c r="A345" i="2"/>
  <c r="A344" i="2"/>
  <c r="A343" i="2"/>
  <c r="A342" i="2"/>
  <c r="A341" i="2"/>
  <c r="A340" i="2"/>
  <c r="A339" i="2"/>
  <c r="A338" i="2"/>
  <c r="A337" i="2"/>
  <c r="A336" i="2"/>
  <c r="A335" i="2"/>
  <c r="A334" i="2"/>
  <c r="A333" i="2"/>
  <c r="A332" i="2"/>
  <c r="A331" i="2"/>
  <c r="A330" i="2"/>
  <c r="A329" i="2"/>
  <c r="A328" i="2"/>
  <c r="A327" i="2"/>
  <c r="A326" i="2"/>
  <c r="A325" i="2"/>
  <c r="A324" i="2"/>
  <c r="A323" i="2"/>
  <c r="A322" i="2"/>
  <c r="A321" i="2"/>
  <c r="A320" i="2"/>
  <c r="A319" i="2"/>
  <c r="A318" i="2"/>
  <c r="A317" i="2"/>
  <c r="A316" i="2"/>
  <c r="A315" i="2"/>
  <c r="A314" i="2"/>
  <c r="A313" i="2"/>
  <c r="A312" i="2"/>
  <c r="A311" i="2"/>
  <c r="A310" i="2"/>
  <c r="A309" i="2"/>
  <c r="A308" i="2"/>
  <c r="A307" i="2"/>
  <c r="A306" i="2"/>
  <c r="A305" i="2"/>
  <c r="A304" i="2"/>
  <c r="A303" i="2"/>
  <c r="A302" i="2"/>
  <c r="A301" i="2"/>
  <c r="A300" i="2"/>
  <c r="A299" i="2"/>
  <c r="A298" i="2"/>
  <c r="A297" i="2"/>
  <c r="A296" i="2"/>
  <c r="A295" i="2"/>
  <c r="A294" i="2"/>
  <c r="A293" i="2"/>
  <c r="A292" i="2"/>
  <c r="A291" i="2"/>
  <c r="A290" i="2"/>
  <c r="A289" i="2"/>
  <c r="A288" i="2"/>
  <c r="A287" i="2"/>
  <c r="A286" i="2"/>
  <c r="A285" i="2"/>
  <c r="A284" i="2"/>
  <c r="A283" i="2"/>
  <c r="A282" i="2"/>
  <c r="A281" i="2"/>
  <c r="A280" i="2"/>
  <c r="A279" i="2"/>
  <c r="A278" i="2"/>
  <c r="A277" i="2"/>
  <c r="A276" i="2"/>
  <c r="A275" i="2"/>
  <c r="A274" i="2"/>
  <c r="A273" i="2"/>
  <c r="A272" i="2"/>
  <c r="A271" i="2"/>
  <c r="A270" i="2"/>
  <c r="A269" i="2"/>
  <c r="A268" i="2"/>
  <c r="A267" i="2"/>
  <c r="A266" i="2"/>
  <c r="A265" i="2"/>
  <c r="A264" i="2"/>
  <c r="A263" i="2"/>
  <c r="A262" i="2"/>
  <c r="A261" i="2"/>
  <c r="A260" i="2"/>
  <c r="A259" i="2"/>
  <c r="A258" i="2"/>
  <c r="A257" i="2"/>
  <c r="A256" i="2"/>
  <c r="A255" i="2"/>
  <c r="A254" i="2"/>
  <c r="A253" i="2"/>
  <c r="A252" i="2"/>
  <c r="A251" i="2"/>
  <c r="A250" i="2"/>
  <c r="A249" i="2"/>
  <c r="A248" i="2"/>
  <c r="A247" i="2"/>
  <c r="A246" i="2"/>
  <c r="A245" i="2"/>
  <c r="A244" i="2"/>
  <c r="A243" i="2"/>
  <c r="A242" i="2"/>
  <c r="A241" i="2"/>
  <c r="A240" i="2"/>
  <c r="A239" i="2"/>
  <c r="A238" i="2"/>
  <c r="A237" i="2"/>
  <c r="A236" i="2"/>
  <c r="A235" i="2"/>
  <c r="A234" i="2"/>
  <c r="A233" i="2"/>
  <c r="A232" i="2"/>
  <c r="A231" i="2"/>
  <c r="A230" i="2"/>
  <c r="A229" i="2"/>
  <c r="A228" i="2"/>
  <c r="A227" i="2"/>
  <c r="A226" i="2"/>
  <c r="A225" i="2"/>
  <c r="A224" i="2"/>
  <c r="A223" i="2"/>
  <c r="A222" i="2"/>
  <c r="A221" i="2"/>
  <c r="A220" i="2"/>
  <c r="A219" i="2"/>
  <c r="A218" i="2"/>
  <c r="A217" i="2"/>
  <c r="A216" i="2"/>
  <c r="A215" i="2"/>
  <c r="A214" i="2"/>
  <c r="A213" i="2"/>
  <c r="A212" i="2"/>
  <c r="A211" i="2"/>
  <c r="A210" i="2"/>
  <c r="A209" i="2"/>
  <c r="A208" i="2"/>
  <c r="A207" i="2"/>
  <c r="A206" i="2"/>
  <c r="A205" i="2"/>
  <c r="A204" i="2"/>
  <c r="A203" i="2"/>
  <c r="A202" i="2"/>
  <c r="A201" i="2"/>
  <c r="A200" i="2"/>
  <c r="A199" i="2"/>
  <c r="A198" i="2"/>
  <c r="A197" i="2"/>
  <c r="A196" i="2"/>
  <c r="A195" i="2"/>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C11" i="2"/>
  <c r="G5" i="1" s="1"/>
  <c r="C9" i="2"/>
  <c r="E5" i="1" s="1"/>
  <c r="E12" i="1" s="1"/>
  <c r="C8" i="2"/>
  <c r="D5" i="1" s="1"/>
  <c r="D12" i="1" s="1"/>
  <c r="C7" i="2"/>
  <c r="C10" i="2" s="1"/>
  <c r="F5" i="1" s="1"/>
  <c r="G11" i="1"/>
  <c r="J11" i="1" s="1"/>
  <c r="E11" i="1"/>
  <c r="D11" i="1"/>
  <c r="C11" i="1"/>
  <c r="I10" i="1"/>
  <c r="G10" i="1"/>
  <c r="E10" i="1"/>
  <c r="J10" i="1" s="1"/>
  <c r="D10" i="1"/>
  <c r="C10" i="1"/>
  <c r="H10" i="1" s="1"/>
  <c r="G9" i="1"/>
  <c r="J9" i="1" s="1"/>
  <c r="E9" i="1"/>
  <c r="D9" i="1"/>
  <c r="C9" i="1"/>
  <c r="I8" i="1"/>
  <c r="H8" i="1"/>
  <c r="G8" i="1"/>
  <c r="E8" i="1"/>
  <c r="J8" i="1" s="1"/>
  <c r="D8" i="1"/>
  <c r="C8" i="1"/>
  <c r="G7" i="1"/>
  <c r="I7" i="1" s="1"/>
  <c r="E7" i="1"/>
  <c r="D7" i="1"/>
  <c r="C7" i="1"/>
  <c r="E6" i="1"/>
  <c r="D6" i="1"/>
  <c r="C6" i="1"/>
  <c r="H6" i="1" l="1"/>
  <c r="J6" i="1"/>
  <c r="I6" i="1"/>
  <c r="G12" i="1"/>
  <c r="I5" i="1"/>
  <c r="C5" i="1"/>
  <c r="C12" i="1" s="1"/>
  <c r="H7" i="1"/>
  <c r="H9" i="1"/>
  <c r="H11" i="1"/>
  <c r="I9" i="1"/>
  <c r="I11" i="1"/>
  <c r="J7" i="1"/>
  <c r="C10" i="3"/>
  <c r="F6" i="1" s="1"/>
  <c r="F12" i="1" s="1"/>
  <c r="J5" i="1" l="1"/>
  <c r="H5" i="1"/>
  <c r="H12" i="1"/>
  <c r="J12" i="1"/>
  <c r="I12" i="1"/>
</calcChain>
</file>

<file path=xl/sharedStrings.xml><?xml version="1.0" encoding="utf-8"?>
<sst xmlns="http://schemas.openxmlformats.org/spreadsheetml/2006/main" count="9364" uniqueCount="3692">
  <si>
    <t>TỔNG HỢP KẾT QUẢ KIỂM THỬ</t>
  </si>
  <si>
    <t>STT</t>
  </si>
  <si>
    <t>Tên màn hình/chức năng</t>
  </si>
  <si>
    <t>Manual test</t>
  </si>
  <si>
    <t>Số trường hợp kiểm thử đạt (P)</t>
  </si>
  <si>
    <t>Số trường hợp kiểm thử không đạt (F)</t>
  </si>
  <si>
    <t>Số trường hợp kiểm thử đang xem xét (PE)</t>
  </si>
  <si>
    <t>Số trường hợp kiểm thử chưa thực hiện</t>
  </si>
  <si>
    <t>Tổng số trường hợp kiểm thử</t>
  </si>
  <si>
    <t>Tỉ lệ trường hợp kiểm thử đạt (%P)</t>
  </si>
  <si>
    <t>Tỉ lệ trường hợp kiểm thử không đạt (%F)</t>
  </si>
  <si>
    <t>Tỉ lệ trường hợp kiểm thử đã thực hiện (%Cover)</t>
  </si>
  <si>
    <t>Màn hình "Danh sách hồ sơ pháp lý" (FEAT-XLDL-009-01)</t>
  </si>
  <si>
    <t>Popup "Xem chi tiết hồ sơ pháp lý tệp D10/D11" (FEAT-XLDL-009-02)</t>
  </si>
  <si>
    <t>Popup "Xem chi tiết hồ sơ pháp lý tệp Q11" (FEAT-XLDL-009-03)</t>
  </si>
  <si>
    <t>Popup "Xử lý hồ sơ pháp lý tệp D10/D11" + popup "Xác nhận cập nhật thông tin hồ sơ"/popup "Xác nhận từ chối cập nhật thông tin hồ sơ" (FEAT-XLDL-009-04)</t>
  </si>
  <si>
    <t>Popup "Xử lý hồ sơ pháp lý tệp Q11" + popup "Xác nhận cập nhật thông tin hồ sơ"/popup "Xác nhận từ chối cập nhật thông tin hồ sơ" (FEAT-XLDL-009-05)</t>
  </si>
  <si>
    <t>Màn hình "Xử lý đồng thời hồ sơ pháp lý" D10/D11 và Q11 + popup "Xác nhận cập nhật thông tin hồ sơ"/popup "Xác nhận từ chối cập nhật thông tin hồ sơ" (FEAT-XLDL-009-06, 07)</t>
  </si>
  <si>
    <t>Xử lý tự động khi tiếp nhận, trạng thái và tích hợp (FEAT-XLDL-009-08)</t>
  </si>
  <si>
    <t>Total</t>
  </si>
  <si>
    <t>KỊCH BẢN KIỂM THỬ CHỨC NĂNG</t>
  </si>
  <si>
    <t>Tên màn hình/Tên chức năng</t>
  </si>
  <si>
    <t>KBNV</t>
  </si>
  <si>
    <t>Mã trường hợp kiểm thử</t>
  </si>
  <si>
    <t>HSPL</t>
  </si>
  <si>
    <t>TKCT</t>
  </si>
  <si>
    <t>ID</t>
  </si>
  <si>
    <t>Mục đích kiểm thử</t>
  </si>
  <si>
    <t>Trường hợp kiểm thử</t>
  </si>
  <si>
    <t>Data test</t>
  </si>
  <si>
    <t>Các bước thực hiện</t>
  </si>
  <si>
    <t>Kết quả mong muốn</t>
  </si>
  <si>
    <t>Mức độ nghiêm trọng</t>
  </si>
  <si>
    <t>Hình ảnh</t>
  </si>
  <si>
    <t>Manual Test</t>
  </si>
  <si>
    <t>Kết quả test (M)</t>
  </si>
  <si>
    <t>Mã lỗi</t>
  </si>
  <si>
    <t>Ghi chú</t>
  </si>
  <si>
    <t>WEB</t>
  </si>
  <si>
    <t>Lần 1</t>
  </si>
  <si>
    <t>Ngày thực hiện</t>
  </si>
  <si>
    <t>Lần 2</t>
  </si>
  <si>
    <t>Lần 3</t>
  </si>
  <si>
    <t xml:space="preserve">Pre-condition:
- Đăng nhập tài khoản cbxl01 (ROLE-CBTTXLDL, phân quyền TCTD 31358001 và 79202501)
- Menu: Thu thập và xử lý dữ liệu &gt; Xử lý dữ liệu &gt; Hồ sơ pháp lý
- Kho tiền dữ liệu có hồ sơ pháp lý hợp lệ tệp D10, D11, Q11 của cả KH Cá nhân và Tổ chức, ở đủ 4 trạng thái Chờ cấp mã / Chờ xem xét / Đã xử lý / Từ chối
- Đầu mối 31358001 có &gt; 1.000 hồ sơ tệp D11 (đủ để phân trang tới trang 50)
- Đầu mối 01201001 là đầu mối gửi báo cáo nhưng KHÔNG thuộc TCTD được phân quyền của cbxl01
</t>
  </si>
  <si>
    <t>Giao diện (Phần này viết các trường hợp kiểm thử cho giao diện chung và các giao diện cho các control)</t>
  </si>
  <si>
    <t>Kiểm tra giao diện chung</t>
  </si>
  <si>
    <t>Kiểm tra hiển thị màn hình mặc định</t>
  </si>
  <si>
    <t>Hiển thị màn hình "Danh sách hồ sơ pháp lý" khi mở</t>
  </si>
  <si>
    <t>1. Mở màn hình "Danh sách hồ sơ pháp lý"
2. Quan sát màn hình "Danh sách hồ sơ pháp lý"</t>
  </si>
  <si>
    <t>Hiển thị đúng như SRS:
- Tiêu đề "Danh sách hồ sơ pháp lý", breadcrumb Trang chủ / Xử lý dữ liệu
- Nút Cấu hình hiển thị, Xuất Excel
- Điều kiện: Loại khách hàng (*) = Cá nhân, Mã đầu mối (*) trống, Mã tệp (*) = tệp đầu tiên được phân quyền (D10), Mã CIC, Mã khách hàng, Nhóm khách hàng, Trạng thái, Người cập nhật, Từ ngày cập nhật → Đến ngày cập nhật, Từ ngày báo cáo → Đến ngày báo cáo; Tên tệp và CCCD/CMND KHÔNG hiển thị (mặc định tắt)
- Nút Thêm bộ lọc, Làm mới, Tìm kiếm
- Lưới: checkbox, STT, Ngày báo cáo, Mã đầu mối, Mã khách hàng, Tên khách hàng, CCCD, Địa chỉ, Mã CIC, Nhóm khách hàng, Trạng thái, Thao tác (Mã tệp, Tên tệp, Loại khách hàng, Ngày cập nhật, Người cập nhật ẩn)
- Vùng lưới hiển thị "Chưa có dữ liệu. Vui lòng chọn tiêu chí tìm kiếm."; phân trang 20 / trang
- Không hiển thị dải thao tác hàng loạt và banner INF_009 (BR-013, BR-019, BR-021)</t>
  </si>
  <si>
    <t>Cao</t>
  </si>
  <si>
    <t>Kiểm tra tổng thể giao diện màn hình</t>
  </si>
  <si>
    <t>Bố cục, font chữ, căn lề, dấu (*), chính tả</t>
  </si>
  <si>
    <t>1. Mở màn hình "Danh sách hồ sơ pháp lý"
2. Quan sát toàn bộ label, control, button</t>
  </si>
  <si>
    <t>1. Label, control có kích thước, khoảng cách đồng đều, không xô lệch
2. Cùng một font, cỡ chữ; label căn trái
3. Trường bắt buộc có dấu (*)
4. Không có lỗi chính tả, ngữ pháp</t>
  </si>
  <si>
    <t>Trung bình</t>
  </si>
  <si>
    <t>Kiểm tra thứ tự di chuyển con trỏ khi nhấn phím Tab</t>
  </si>
  <si>
    <t>Nhấn Tab liên tục từ control đầu tiên</t>
  </si>
  <si>
    <t>1. Mở màn hình "Danh sách hồ sơ pháp lý"
2. Nhấn phím Tab liên tục</t>
  </si>
  <si>
    <t>Con trỏ di chuyển lần lượt: Cấu hình hiển thị → Xuất Excel → Loại khách hàng → Mã đầu mối → Mã tệp → Mã CIC → Mã khách hàng → Nhóm khách hàng → Trạng thái → Người cập nhật → Từ ngày cập nhật → Đến ngày cập nhật → Từ ngày báo cáo → Đến ngày báo cáo → Thêm bộ lọc → Làm mới → Tìm kiếm → lưới → phân trang</t>
  </si>
  <si>
    <t>Kiểm tra thứ tự di chuyển con trỏ khi nhấn phím Shift+Tab</t>
  </si>
  <si>
    <t>Nhấn Shift+Tab liên tục từ control cuối cùng</t>
  </si>
  <si>
    <t>1. Mở màn hình "Danh sách hồ sơ pháp lý"
2. Focus control cuối cùng
3. Nhấn Shift+Tab liên tục</t>
  </si>
  <si>
    <t>Con trỏ di chuyển theo thứ tự ngược lại với phím Tab (từ dưới lên trên, từ phải sang trái)</t>
  </si>
  <si>
    <t>Kiểm tra phím Enter</t>
  </si>
  <si>
    <t>Nhấn Enter khi đang focus control</t>
  </si>
  <si>
    <t>1. Mở màn hình "Danh sách hồ sơ pháp lý"
2. Focus control
3. Nhấn phím Enter</t>
  </si>
  <si>
    <t>Focus ô điều kiện và nhấn Enter → kích hoạt Tìm kiếm; focus nút → thực hiện chức năng của nút</t>
  </si>
  <si>
    <t>Kiểm tra tính năng responsive màn hình</t>
  </si>
  <si>
    <t>Thay đổi mức zoom bằng Ctrl+− / Ctrl+=</t>
  </si>
  <si>
    <t>Zoom 75%, 100%, 125%, 150%</t>
  </si>
  <si>
    <t>1. Mở màn hình "Danh sách hồ sơ pháp lý"
2. Nhấn Ctrl+− / Ctrl+= để đổi mức zoom</t>
  </si>
  <si>
    <t>Layout hiển thị hài hòa, không tràn khung, không vỡ giao diện ở mọi mức zoom</t>
  </si>
  <si>
    <t>Thấp</t>
  </si>
  <si>
    <t>Kiểm tra ngôn ngữ tiếng Việt chuẩn hành chính</t>
  </si>
  <si>
    <t>Rà toàn bộ nhãn, từ viết tắt trên màn hình</t>
  </si>
  <si>
    <t>Từ viết tắt: KH, TCTD, TTQT, QHTD, CIC, C06</t>
  </si>
  <si>
    <t>1. Mở màn hình "Danh sách hồ sơ pháp lý"
2. Rà các nhãn, giá trị có từ viết tắt</t>
  </si>
  <si>
    <t>Không có từ viết tắt không được định nghĩa; từ viết tắt có tooltip giải thích (Quy tắc component)</t>
  </si>
  <si>
    <t>Kiểm tra phím tắt thao tác</t>
  </si>
  <si>
    <t>Phím tắt theo Quy tắc component</t>
  </si>
  <si>
    <t>F5; Ctrl+Shift+E; Ctrl+P</t>
  </si>
  <si>
    <t>1. Mở màn hình "Danh sách hồ sơ pháp lý", chọn Loại KH = Cá nhân, Mã đầu mối = 31358001, Mã tệp = D11, click Tìm kiếm
2. Nhấn lần lượt F5, Ctrl+Shift+E, Ctrl+P</t>
  </si>
  <si>
    <t>F5 làm mới trang; Ctrl+Shift+E mở lựa chọn Xuất Excel; Ctrl+P mở In trang hiện tại</t>
  </si>
  <si>
    <t>Kiểm tra title Danh sách hồ sơ pháp lý</t>
  </si>
  <si>
    <t>Kiểm tra hiển thị title</t>
  </si>
  <si>
    <t>1. Mở màn hình "Danh sách hồ sơ pháp lý"
2. Kiểm tra hiển thị title</t>
  </si>
  <si>
    <t>Title cố định mặc định: "Danh sách hồ sơ pháp lý"</t>
  </si>
  <si>
    <t>Kiểm tra chỉnh sửa title</t>
  </si>
  <si>
    <t>1. Mở màn hình "Danh sách hồ sơ pháp lý"
2. Click / thử nhập vào title</t>
  </si>
  <si>
    <t>Không cho phép chỉnh sửa</t>
  </si>
  <si>
    <t>Kiểm tra button chung trên màn hình</t>
  </si>
  <si>
    <t>Kiểm tra căn lề, chính tả label button</t>
  </si>
  <si>
    <t>Kiểm tra căn lề, chính tả label các button</t>
  </si>
  <si>
    <t>1. Mở màn hình "Danh sách hồ sơ pháp lý"
2. Quan sát các button: Cấu hình hiển thị, Xuất Excel, Thêm bộ lọc, Làm mới, Tìm kiếm, Xử lý hồ sơ, Bỏ chọn</t>
  </si>
  <si>
    <t>Text căn giữa, chữ thường và chữ cái đầu in hoa, không lỗi chính tả</t>
  </si>
  <si>
    <t>Kiểm tra trạng thái enabled/disabled của các button theo điều kiện</t>
  </si>
  <si>
    <t>Kiểm tra trạng thái các button</t>
  </si>
  <si>
    <t>1. Mở màn hình "Danh sách hồ sơ pháp lý"
2. Quan sát trạng thái các button</t>
  </si>
  <si>
    <t>Hiển thị đúng trạng thái theo điều kiện SRS; chỉ có duy nhất 1 Primary button (Tìm kiếm) trong một khu vực</t>
  </si>
  <si>
    <t>Kiểm tra click button thực hiện đúng chức năng</t>
  </si>
  <si>
    <t>Kiểm tra click các button</t>
  </si>
  <si>
    <t>1. Mở màn hình "Danh sách hồ sơ pháp lý"
2. Click lần lượt từng button</t>
  </si>
  <si>
    <t>Mỗi button thực hiện đúng chức năng mô tả trong SRS</t>
  </si>
  <si>
    <t>Kiểm tra loading và disable button khi đang xử lý</t>
  </si>
  <si>
    <t>Kiểm tra button khi hệ thống đang xử lý</t>
  </si>
  <si>
    <t>Giả lập mạng chậm (DevTools: Slow 3G)</t>
  </si>
  <si>
    <t>1. Mở màn hình "Danh sách hồ sơ pháp lý"
2. Click button gọi API
3. Click tiếp nhiều lần khi đang xử lý</t>
  </si>
  <si>
    <t>Button hiển thị loading spinner và bị disable; thao tác chỉ được thực hiện 1 lần</t>
  </si>
  <si>
    <t>Kiểm tra giữ bộ lọc sau khi F5 hoặc chuyển trang</t>
  </si>
  <si>
    <t>Kiểm tra giữ tùy chọn bộ lọc và cấu hình hiển thị</t>
  </si>
  <si>
    <t>1. Mở màn hình "Danh sách hồ sơ pháp lý"
2. Chọn điều kiện, Tìm kiếm
3. Nhấn F5 hoặc chuyển sang chức năng khác rồi quay lại</t>
  </si>
  <si>
    <t>Hệ thống giữ tùy chọn bộ lọc và cấu hình hiển thị đã chọn trước đó (không lưu giá trị) — Quy tắc component</t>
  </si>
  <si>
    <t>Kiểm tra button Cấu hình hiển thị</t>
  </si>
  <si>
    <t>Kiểm tra hiển thị button</t>
  </si>
  <si>
    <t>Kiểm tra hiển thị nút Cấu hình hiển thị</t>
  </si>
  <si>
    <t>1. Mở màn hình "Danh sách hồ sơ pháp lý"
2. Quan sát nút Cấu hình hiển thị</t>
  </si>
  <si>
    <t>Button hiển thị giống như trong SRS: góc phải tiêu đề trang, có icon, nhãn "Cấu hình hiển thị"</t>
  </si>
  <si>
    <t>Kiểm tra trạng thái button</t>
  </si>
  <si>
    <t>Kiểm tra trạng thái enable/disable của nút Cấu hình hiển thị</t>
  </si>
  <si>
    <t>1. Mở màn hình "Danh sách hồ sơ pháp lý"
2. Quan sát trạng thái nút Cấu hình hiển thị theo từng điều kiện</t>
  </si>
  <si>
    <t>Trạng thái: Enable</t>
  </si>
  <si>
    <t>Kiểm tra thao tác click button</t>
  </si>
  <si>
    <t>Kiểm tra click nút Cấu hình hiển thị</t>
  </si>
  <si>
    <t>1. Mở màn hình "Danh sách hồ sơ pháp lý"
2. Click nút Cấu hình hiển thị</t>
  </si>
  <si>
    <t>Hiển thị popup Cấu hình hiển thị gồm: tiêu đề "Cấu hình hiển thị", icon X, ô tìm kiếm trường thông tin, danh sách cột kèm checkbox theo đúng thứ tự trên lưới:
- STT: mặc định check
- Ngày báo cáo: mặc định check (disable)
- Mã tệp: mặc định uncheck
- Tên tệp: mặc định uncheck
- Mã đầu mối: mặc định check (disable)
- Mã khách hàng: mặc định check (disable)
- Tên khách hàng: mặc định check
- CCCD/MSDN: mặc định check
- Địa chỉ: mặc định check
- Loại khách hàng: mặc định uncheck
- Mã CIC: mặc định check
- Nhóm khách hàng: mặc định check
- Trạng thái: mặc định check
- Ngày cập nhật: mặc định uncheck
- Người cập nhật: mặc định uncheck
- Thao tác: mặc định check (disable)
- Button Bỏ chọn, Chọn tất cả, Áp dụng (BR-021, CMP-025)</t>
  </si>
  <si>
    <t>Kiểm tra title popup Cấu hình hiển thị</t>
  </si>
  <si>
    <t>1. Mở màn hình "Danh sách hồ sơ pháp lý", chọn Loại KH = Cá nhân, Mã đầu mối = 31358001, Mã tệp = D11, click Tìm kiếm, click button Cấu hình hiển thị
2. Kiểm tra hiển thị title</t>
  </si>
  <si>
    <t>Title cố định: "Cấu hình hiển thị"</t>
  </si>
  <si>
    <t>1. Mở màn hình "Danh sách hồ sơ pháp lý", chọn Loại KH = Cá nhân, Mã đầu mối = 31358001, Mã tệp = D11, click Tìm kiếm, click button Cấu hình hiển thị
2. Click vào title</t>
  </si>
  <si>
    <t>Không được chỉnh sửa</t>
  </si>
  <si>
    <t>Kiểm tra ô tìm kiếm trường thông tin trên popup Cấu hình hiển thị</t>
  </si>
  <si>
    <t>Kiểm tra giá trị mặc định</t>
  </si>
  <si>
    <t>1. Mở màn hình "Danh sách hồ sơ pháp lý", chọn Loại KH = Cá nhân, Mã đầu mối = 31358001, Mã tệp = D11, click Tìm kiếm, click button Cấu hình hiển thị
2. Kiểm tra giá trị mặc định ô tìm kiếm</t>
  </si>
  <si>
    <t>Mặc định bỏ trống</t>
  </si>
  <si>
    <t>Kiểm tra bỏ trống</t>
  </si>
  <si>
    <t>1. Mở màn hình "Danh sách hồ sơ pháp lý", chọn Loại KH = Cá nhân, Mã đầu mối = 31358001, Mã tệp = D11, click Tìm kiếm, click button Cấu hình hiển thị
2. Bỏ trống ô tìm kiếm
3. Focus out</t>
  </si>
  <si>
    <t>Hệ thống cho phép bỏ trống; hiển thị đủ danh sách cột</t>
  </si>
  <si>
    <t>Kiểm tra nhập tìm kiếm</t>
  </si>
  <si>
    <t>Nhập tìm kiếm giá trị có trong danh sách</t>
  </si>
  <si>
    <t>Tìm kiếm tương đối: 'Mã'</t>
  </si>
  <si>
    <t>1. Mở màn hình "Danh sách hồ sơ pháp lý", chọn Loại KH = Cá nhân, Mã đầu mối = 31358001, Mã tệp = D11, click Tìm kiếm, click button Cấu hình hiển thị
2. Click vào ô tìm kiếm
3. Nhập 'Mã'</t>
  </si>
  <si>
    <t>Hiển thị các cột chứa 'Mã': Mã tệp, Mã đầu mối, Mã khách hàng, Mã CIC</t>
  </si>
  <si>
    <t>Tìm kiếm tuyệt đối: 'Nhóm khách hàng'</t>
  </si>
  <si>
    <t>1. Mở màn hình "Danh sách hồ sơ pháp lý", chọn Loại KH = Cá nhân, Mã đầu mối = 31358001, Mã tệp = D11, click Tìm kiếm, click button Cấu hình hiển thị
2. Click vào ô tìm kiếm
3. Nhập 'Nhóm khách hàng'</t>
  </si>
  <si>
    <t>Hiển thị đúng cột Nhóm khách hàng</t>
  </si>
  <si>
    <t>Nhập tìm kiếm giá trị không có trong danh sách</t>
  </si>
  <si>
    <t>'Dung lượng'</t>
  </si>
  <si>
    <t>1. Mở màn hình "Danh sách hồ sơ pháp lý", chọn Loại KH = Cá nhân, Mã đầu mối = 31358001, Mã tệp = D11, click Tìm kiếm, click button Cấu hình hiển thị
2. Click vào ô tìm kiếm
3. Nhập 'Dung lượng'</t>
  </si>
  <si>
    <t>Không hiển thị cột nào trong danh sách</t>
  </si>
  <si>
    <t>Kiểm tra khi nhập giá trị</t>
  </si>
  <si>
    <t>Kiểm tra khi nhập khoảng trắng</t>
  </si>
  <si>
    <t>Nhập toàn khoảng trắng</t>
  </si>
  <si>
    <t>1. Mở màn hình "Danh sách hồ sơ pháp lý", chọn Loại KH = Cá nhân, Mã đầu mối = 31358001, Mã tệp = D11, click Tìm kiếm, click button Cấu hình hiển thị
2. Tại ô tìm kiếm, nhập toàn khoảng trắng
3. Focus out</t>
  </si>
  <si>
    <t>Hệ thống tự động trim khoảng trắng khi focus out</t>
  </si>
  <si>
    <t>Nhập khoảng trắng ở đầu cuối ký tự</t>
  </si>
  <si>
    <t>1. Mở màn hình "Danh sách hồ sơ pháp lý", chọn Loại KH = Cá nhân, Mã đầu mối = 31358001, Mã tệp = D11, click Tìm kiếm, click button Cấu hình hiển thị
2. Nhập '  Mã CIC  '
3. Focus out</t>
  </si>
  <si>
    <t>Nhập khoảng trắng ở giữa ký tự</t>
  </si>
  <si>
    <t>1. Mở màn hình "Danh sách hồ sơ pháp lý", chọn Loại KH = Cá nhân, Mã đầu mối = 31358001, Mã tệp = D11, click Tìm kiếm, click button Cấu hình hiển thị
2. Nhập 'Mã CIC'
3. Focus out</t>
  </si>
  <si>
    <t>Hệ thống cho phép nhập</t>
  </si>
  <si>
    <t>Nhập nhiều khoảng trắng ở giữa các ký tự</t>
  </si>
  <si>
    <t>1. Mở màn hình "Danh sách hồ sơ pháp lý", chọn Loại KH = Cá nhân, Mã đầu mối = 31358001, Mã tệp = D11, click Tìm kiếm, click button Cấu hình hiển thị
2. Nhập 'Mã    CIC'
3. Focus out</t>
  </si>
  <si>
    <t>Kiểm tra nhập maxlength</t>
  </si>
  <si>
    <t>Nhập &lt; 100 ký tự</t>
  </si>
  <si>
    <t>1. Mở màn hình "Danh sách hồ sơ pháp lý", chọn Loại KH = Cá nhân, Mã đầu mối = 31358001, Mã tệp = D11, click Tìm kiếm, click button Cấu hình hiển thị
2. Nhập 99 ký tự
3. Focus out</t>
  </si>
  <si>
    <t>Nhập = 100 ký tự</t>
  </si>
  <si>
    <t>1. Mở màn hình "Danh sách hồ sơ pháp lý", chọn Loại KH = Cá nhân, Mã đầu mối = 31358001, Mã tệp = D11, click Tìm kiếm, click button Cấu hình hiển thị
2. Nhập 100 ký tự
3. Focus out</t>
  </si>
  <si>
    <t>Nhập &gt; 100 ký tự</t>
  </si>
  <si>
    <t>1. Mở màn hình "Danh sách hồ sơ pháp lý", chọn Loại KH = Cá nhân, Mã đầu mối = 31358001, Mã tệp = D11, click Tìm kiếm, click button Cấu hình hiển thị
2. Nhập 101 ký tự
3. Focus out</t>
  </si>
  <si>
    <t>Hệ thống chặn không cho nhập quá maxlength</t>
  </si>
  <si>
    <t>Kiểm tra khi nhập ký tự số</t>
  </si>
  <si>
    <t>'123'</t>
  </si>
  <si>
    <t>1. Mở màn hình "Danh sách hồ sơ pháp lý", chọn Loại KH = Cá nhân, Mã đầu mối = 31358001, Mã tệp = D11, click Tìm kiếm, click button Cấu hình hiển thị
2. Nhập ký tự số</t>
  </si>
  <si>
    <t>Kiểm tra khi nhập ký tự đặc biệt</t>
  </si>
  <si>
    <t>'/@#'</t>
  </si>
  <si>
    <t>1. Mở màn hình "Danh sách hồ sơ pháp lý", chọn Loại KH = Cá nhân, Mã đầu mối = 31358001, Mã tệp = D11, click Tìm kiếm, click button Cấu hình hiển thị
2. Nhập ký tự đặc biệt</t>
  </si>
  <si>
    <t>Kiểm tra khi nhập ký tự chữ in hoa</t>
  </si>
  <si>
    <t>'MÃ CIC'</t>
  </si>
  <si>
    <t>1. Mở màn hình "Danh sách hồ sơ pháp lý", chọn Loại KH = Cá nhân, Mã đầu mối = 31358001, Mã tệp = D11, click Tìm kiếm, click button Cấu hình hiển thị
2. Nhập chữ in hoa</t>
  </si>
  <si>
    <t>Hệ thống cho phép nhập; kết quả tìm không phân biệt hoa thường</t>
  </si>
  <si>
    <t>Kiểm tra khi nhập ký tự chữ in thường</t>
  </si>
  <si>
    <t>'mã cic'</t>
  </si>
  <si>
    <t>1. Mở màn hình "Danh sách hồ sơ pháp lý", chọn Loại KH = Cá nhân, Mã đầu mối = 31358001, Mã tệp = D11, click Tìm kiếm, click button Cấu hình hiển thị
2. Nhập chữ in thường</t>
  </si>
  <si>
    <t>Kiểm tra nhập ký tự chữ có dấu, tiếng Việt</t>
  </si>
  <si>
    <t>'Người cập nhật'</t>
  </si>
  <si>
    <t>1. Mở màn hình "Danh sách hồ sơ pháp lý", chọn Loại KH = Cá nhân, Mã đầu mối = 31358001, Mã tệp = D11, click Tìm kiếm, click button Cấu hình hiển thị
2. Nhập chữ có dấu</t>
  </si>
  <si>
    <t>Kiểm tra khi copy/paste giá trị</t>
  </si>
  <si>
    <t>Kiểm tra khi copy/paste khoảng trắng</t>
  </si>
  <si>
    <t>Copy/paste toàn khoảng trắng</t>
  </si>
  <si>
    <t>1. Mở màn hình "Danh sách hồ sơ pháp lý", chọn Loại KH = Cá nhân, Mã đầu mối = 31358001, Mã tệp = D11, click Tìm kiếm, click button Cấu hình hiển thị
2. Copy/paste toàn khoảng trắng
3. Focus out</t>
  </si>
  <si>
    <t>Hệ thống cho phép copy/paste; trim khi focus out</t>
  </si>
  <si>
    <t>Copy/paste khoảng trắng ở đầu cuối ký tự</t>
  </si>
  <si>
    <t>1. Mở màn hình "Danh sách hồ sơ pháp lý", chọn Loại KH = Cá nhân, Mã đầu mối = 31358001, Mã tệp = D11, click Tìm kiếm, click button Cấu hình hiển thị
2. Copy/paste '  Mã CIC  '
3. Focus out</t>
  </si>
  <si>
    <t>Copy/paste khoảng trắng ở giữa ký tự</t>
  </si>
  <si>
    <t>1. Mở màn hình "Danh sách hồ sơ pháp lý", chọn Loại KH = Cá nhân, Mã đầu mối = 31358001, Mã tệp = D11, click Tìm kiếm, click button Cấu hình hiển thị
2. Copy/paste 'Mã CIC'
3. Focus out</t>
  </si>
  <si>
    <t>Hệ thống cho phép copy/paste</t>
  </si>
  <si>
    <t>Copy/paste nhiều khoảng trắng ở giữa các ký tự</t>
  </si>
  <si>
    <t>1. Mở màn hình "Danh sách hồ sơ pháp lý", chọn Loại KH = Cá nhân, Mã đầu mối = 31358001, Mã tệp = D11, click Tìm kiếm, click button Cấu hình hiển thị
2. Copy/paste 'Mã    CIC'
3. Focus out</t>
  </si>
  <si>
    <t>Kiểm tra copy/paste maxlength</t>
  </si>
  <si>
    <t>Copy/paste = 100 ký tự</t>
  </si>
  <si>
    <t>1. Mở màn hình "Danh sách hồ sơ pháp lý", chọn Loại KH = Cá nhân, Mã đầu mối = 31358001, Mã tệp = D11, click Tìm kiếm, click button Cấu hình hiển thị
2. Copy/paste 100 ký tự
3. Focus out</t>
  </si>
  <si>
    <t>Copy/paste &gt; 100 ký tự</t>
  </si>
  <si>
    <t>1. Mở màn hình "Danh sách hồ sơ pháp lý", chọn Loại KH = Cá nhân, Mã đầu mối = 31358001, Mã tệp = D11, click Tìm kiếm, click button Cấu hình hiển thị
2. Copy/paste 101 ký tự
3. Focus out</t>
  </si>
  <si>
    <t>Hệ thống chặn không cho nhập quá maxlength (cắt còn 100 ký tự)</t>
  </si>
  <si>
    <t>Kiểm tra khi copy/paste ký tự số</t>
  </si>
  <si>
    <t>1. Mở màn hình "Danh sách hồ sơ pháp lý", chọn Loại KH = Cá nhân, Mã đầu mối = 31358001, Mã tệp = D11, click Tìm kiếm, click button Cấu hình hiển thị
2. Copy/paste ký tự số</t>
  </si>
  <si>
    <t>Kiểm tra khi copy/paste ký tự đặc biệt</t>
  </si>
  <si>
    <t>1. Mở màn hình "Danh sách hồ sơ pháp lý", chọn Loại KH = Cá nhân, Mã đầu mối = 31358001, Mã tệp = D11, click Tìm kiếm, click button Cấu hình hiển thị
2. Copy/paste ký tự đặc biệt</t>
  </si>
  <si>
    <t>Kiểm tra khi copy/paste ký tự chữ in hoa</t>
  </si>
  <si>
    <t>1. Mở màn hình "Danh sách hồ sơ pháp lý", chọn Loại KH = Cá nhân, Mã đầu mối = 31358001, Mã tệp = D11, click Tìm kiếm, click button Cấu hình hiển thị
2. Copy/paste chữ in hoa</t>
  </si>
  <si>
    <t>Kiểm tra khi copy/paste ký tự chữ in thường</t>
  </si>
  <si>
    <t>1. Mở màn hình "Danh sách hồ sơ pháp lý", chọn Loại KH = Cá nhân, Mã đầu mối = 31358001, Mã tệp = D11, click Tìm kiếm, click button Cấu hình hiển thị
2. Copy/paste chữ in thường</t>
  </si>
  <si>
    <t>Kiểm tra copy/paste ký tự chữ có dấu, tiếng Việt</t>
  </si>
  <si>
    <t>1. Mở màn hình "Danh sách hồ sơ pháp lý", chọn Loại KH = Cá nhân, Mã đầu mối = 31358001, Mã tệp = D11, click Tìm kiếm, click button Cấu hình hiển thị
2. Copy/paste chữ có dấu</t>
  </si>
  <si>
    <t>Kiểm tra checkbox trên popup Cấu hình hiển thị</t>
  </si>
  <si>
    <t>Kiểm tra hiển thị checkbox</t>
  </si>
  <si>
    <t>Kiểm tra hiển thị</t>
  </si>
  <si>
    <t>1. Mở màn hình "Danh sách hồ sơ pháp lý", chọn Loại KH = Cá nhân, Mã đầu mối = 31358001, Mã tệp = D11, click Tìm kiếm, click button Cấu hình hiển thị
2. Kiểm tra hiển thị checkbox</t>
  </si>
  <si>
    <t>Hiển thị căn chỉnh hợp lý như trong SRS; mỗi cột một checkbox</t>
  </si>
  <si>
    <t>Kiểm tra giá trị mặc định checkbox</t>
  </si>
  <si>
    <t>1. Mở màn hình "Danh sách hồ sơ pháp lý", chọn Loại KH = Cá nhân, Mã đầu mối = 31358001, Mã tệp = D11, click Tìm kiếm, click button Cấu hình hiển thị
2. Kiểm tra giá trị mặc định</t>
  </si>
  <si>
    <t>Trạng thái mặc định các checkbox:
- STT: mặc định check
- Ngày báo cáo: mặc định check (disable)
- Mã tệp: mặc định uncheck
- Tên tệp: mặc định uncheck
- Mã đầu mối: mặc định check (disable)
- Mã khách hàng: mặc định check (disable)
- Tên khách hàng: mặc định check
- CCCD/MSDN: mặc định check
- Địa chỉ: mặc định check
- Loại khách hàng: mặc định uncheck
- Mã CIC: mặc định check
- Nhóm khách hàng: mặc định check
- Trạng thái: mặc định check
- Ngày cập nhật: mặc định uncheck
- Người cập nhật: mặc định uncheck
- Thao tác: mặc định check (disable) (BR-021)</t>
  </si>
  <si>
    <t>Kiểm tra onclick checkbox</t>
  </si>
  <si>
    <t>1. Mở màn hình "Danh sách hồ sơ pháp lý", chọn Loại KH = Cá nhân, Mã đầu mối = 31358001, Mã tệp = D11, click Tìm kiếm, click button Cấu hình hiển thị
2. Click vào checkbox STT</t>
  </si>
  <si>
    <t>Checkbox mặc định check và enable, cho phép check/uncheck — sau Áp dụng, cột hiển thị/ẩn trên lưới tương ứng</t>
  </si>
  <si>
    <t>Ngày báo cáo</t>
  </si>
  <si>
    <t>1. Mở màn hình "Danh sách hồ sơ pháp lý", chọn Loại KH = Cá nhân, Mã đầu mối = 31358001, Mã tệp = D11, click Tìm kiếm, click button Cấu hình hiển thị
2. Click vào checkbox Ngày báo cáo</t>
  </si>
  <si>
    <t>Checkbox ở trạng thái check và disable, không cho phép thao tác (cột/bộ lọc bắt buộc)</t>
  </si>
  <si>
    <t>Mã tệp</t>
  </si>
  <si>
    <t>1. Mở màn hình "Danh sách hồ sơ pháp lý", chọn Loại KH = Cá nhân, Mã đầu mối = 31358001, Mã tệp = D11, click Tìm kiếm, click button Cấu hình hiển thị
2. Click vào checkbox Mã tệp</t>
  </si>
  <si>
    <t>Checkbox mặc định uncheck và enable, cho phép check/uncheck — sau Áp dụng, cột hiển thị/ẩn trên lưới tương ứng</t>
  </si>
  <si>
    <t>Tên tệp</t>
  </si>
  <si>
    <t>1. Mở màn hình "Danh sách hồ sơ pháp lý", chọn Loại KH = Cá nhân, Mã đầu mối = 31358001, Mã tệp = D11, click Tìm kiếm, click button Cấu hình hiển thị
2. Click vào checkbox Tên tệp</t>
  </si>
  <si>
    <t>Mã đầu mối</t>
  </si>
  <si>
    <t>1. Mở màn hình "Danh sách hồ sơ pháp lý", chọn Loại KH = Cá nhân, Mã đầu mối = 31358001, Mã tệp = D11, click Tìm kiếm, click button Cấu hình hiển thị
2. Click vào checkbox Mã đầu mối</t>
  </si>
  <si>
    <t>Mã khách hàng</t>
  </si>
  <si>
    <t>1. Mở màn hình "Danh sách hồ sơ pháp lý", chọn Loại KH = Cá nhân, Mã đầu mối = 31358001, Mã tệp = D11, click Tìm kiếm, click button Cấu hình hiển thị
2. Click vào checkbox Mã khách hàng</t>
  </si>
  <si>
    <t>Tên khách hàng</t>
  </si>
  <si>
    <t>1. Mở màn hình "Danh sách hồ sơ pháp lý", chọn Loại KH = Cá nhân, Mã đầu mối = 31358001, Mã tệp = D11, click Tìm kiếm, click button Cấu hình hiển thị
2. Click vào checkbox Tên khách hàng</t>
  </si>
  <si>
    <t>CCCD/MSDN</t>
  </si>
  <si>
    <t>1. Mở màn hình "Danh sách hồ sơ pháp lý", chọn Loại KH = Cá nhân, Mã đầu mối = 31358001, Mã tệp = D11, click Tìm kiếm, click button Cấu hình hiển thị
2. Click vào checkbox CCCD/MSDN</t>
  </si>
  <si>
    <t>Địa chỉ</t>
  </si>
  <si>
    <t>1. Mở màn hình "Danh sách hồ sơ pháp lý", chọn Loại KH = Cá nhân, Mã đầu mối = 31358001, Mã tệp = D11, click Tìm kiếm, click button Cấu hình hiển thị
2. Click vào checkbox Địa chỉ</t>
  </si>
  <si>
    <t>Loại khách hàng</t>
  </si>
  <si>
    <t>1. Mở màn hình "Danh sách hồ sơ pháp lý", chọn Loại KH = Cá nhân, Mã đầu mối = 31358001, Mã tệp = D11, click Tìm kiếm, click button Cấu hình hiển thị
2. Click vào checkbox Loại khách hàng</t>
  </si>
  <si>
    <t>Mã CIC</t>
  </si>
  <si>
    <t>1. Mở màn hình "Danh sách hồ sơ pháp lý", chọn Loại KH = Cá nhân, Mã đầu mối = 31358001, Mã tệp = D11, click Tìm kiếm, click button Cấu hình hiển thị
2. Click vào checkbox Mã CIC</t>
  </si>
  <si>
    <t>Nhóm khách hàng</t>
  </si>
  <si>
    <t>1. Mở màn hình "Danh sách hồ sơ pháp lý", chọn Loại KH = Cá nhân, Mã đầu mối = 31358001, Mã tệp = D11, click Tìm kiếm, click button Cấu hình hiển thị
2. Click vào checkbox Nhóm khách hàng</t>
  </si>
  <si>
    <t>Trạng thái</t>
  </si>
  <si>
    <t>1. Mở màn hình "Danh sách hồ sơ pháp lý", chọn Loại KH = Cá nhân, Mã đầu mối = 31358001, Mã tệp = D11, click Tìm kiếm, click button Cấu hình hiển thị
2. Click vào checkbox Trạng thái</t>
  </si>
  <si>
    <t>Ngày cập nhật</t>
  </si>
  <si>
    <t>1. Mở màn hình "Danh sách hồ sơ pháp lý", chọn Loại KH = Cá nhân, Mã đầu mối = 31358001, Mã tệp = D11, click Tìm kiếm, click button Cấu hình hiển thị
2. Click vào checkbox Ngày cập nhật</t>
  </si>
  <si>
    <t>Người cập nhật</t>
  </si>
  <si>
    <t>1. Mở màn hình "Danh sách hồ sơ pháp lý", chọn Loại KH = Cá nhân, Mã đầu mối = 31358001, Mã tệp = D11, click Tìm kiếm, click button Cấu hình hiển thị
2. Click vào checkbox Người cập nhật</t>
  </si>
  <si>
    <t>Thao tác</t>
  </si>
  <si>
    <t>1. Mở màn hình "Danh sách hồ sơ pháp lý", chọn Loại KH = Cá nhân, Mã đầu mối = 31358001, Mã tệp = D11, click Tìm kiếm, click button Cấu hình hiển thị
2. Click vào checkbox Thao tác</t>
  </si>
  <si>
    <t>Kiểm tra kéo thả các trường</t>
  </si>
  <si>
    <t>1. Mở màn hình "Danh sách hồ sơ pháp lý", chọn Loại KH = Cá nhân, Mã đầu mối = 31358001, Mã tệp = D11, click Tìm kiếm, click button Cấu hình hiển thị
2. Giữ và kéo trường STT sang vị trí khác
3. Click Áp dụng</t>
  </si>
  <si>
    <t>Được phép kéo thả trường; sau Áp dụng, thứ tự cột trên lưới thay đổi tương ứng (BR-021)</t>
  </si>
  <si>
    <t>1. Mở màn hình "Danh sách hồ sơ pháp lý", chọn Loại KH = Cá nhân, Mã đầu mối = 31358001, Mã tệp = D11, click Tìm kiếm, click button Cấu hình hiển thị
2. Giữ và kéo trường Ngày báo cáo sang vị trí khác
3. Click Áp dụng</t>
  </si>
  <si>
    <t>1. Mở màn hình "Danh sách hồ sơ pháp lý", chọn Loại KH = Cá nhân, Mã đầu mối = 31358001, Mã tệp = D11, click Tìm kiếm, click button Cấu hình hiển thị
2. Giữ và kéo trường Mã tệp sang vị trí khác
3. Click Áp dụng</t>
  </si>
  <si>
    <t>1. Mở màn hình "Danh sách hồ sơ pháp lý", chọn Loại KH = Cá nhân, Mã đầu mối = 31358001, Mã tệp = D11, click Tìm kiếm, click button Cấu hình hiển thị
2. Giữ và kéo trường Tên tệp sang vị trí khác
3. Click Áp dụng</t>
  </si>
  <si>
    <t>1. Mở màn hình "Danh sách hồ sơ pháp lý", chọn Loại KH = Cá nhân, Mã đầu mối = 31358001, Mã tệp = D11, click Tìm kiếm, click button Cấu hình hiển thị
2. Giữ và kéo trường Mã đầu mối sang vị trí khác
3. Click Áp dụng</t>
  </si>
  <si>
    <t>1. Mở màn hình "Danh sách hồ sơ pháp lý", chọn Loại KH = Cá nhân, Mã đầu mối = 31358001, Mã tệp = D11, click Tìm kiếm, click button Cấu hình hiển thị
2. Giữ và kéo trường Mã khách hàng sang vị trí khác
3. Click Áp dụng</t>
  </si>
  <si>
    <t>1. Mở màn hình "Danh sách hồ sơ pháp lý", chọn Loại KH = Cá nhân, Mã đầu mối = 31358001, Mã tệp = D11, click Tìm kiếm, click button Cấu hình hiển thị
2. Giữ và kéo trường Tên khách hàng sang vị trí khác
3. Click Áp dụng</t>
  </si>
  <si>
    <t>1. Mở màn hình "Danh sách hồ sơ pháp lý", chọn Loại KH = Cá nhân, Mã đầu mối = 31358001, Mã tệp = D11, click Tìm kiếm, click button Cấu hình hiển thị
2. Giữ và kéo trường CCCD/MSDN sang vị trí khác
3. Click Áp dụng</t>
  </si>
  <si>
    <t>1. Mở màn hình "Danh sách hồ sơ pháp lý", chọn Loại KH = Cá nhân, Mã đầu mối = 31358001, Mã tệp = D11, click Tìm kiếm, click button Cấu hình hiển thị
2. Giữ và kéo trường Địa chỉ sang vị trí khác
3. Click Áp dụng</t>
  </si>
  <si>
    <t>1. Mở màn hình "Danh sách hồ sơ pháp lý", chọn Loại KH = Cá nhân, Mã đầu mối = 31358001, Mã tệp = D11, click Tìm kiếm, click button Cấu hình hiển thị
2. Giữ và kéo trường Loại khách hàng sang vị trí khác
3. Click Áp dụng</t>
  </si>
  <si>
    <t>1. Mở màn hình "Danh sách hồ sơ pháp lý", chọn Loại KH = Cá nhân, Mã đầu mối = 31358001, Mã tệp = D11, click Tìm kiếm, click button Cấu hình hiển thị
2. Giữ và kéo trường Mã CIC sang vị trí khác
3. Click Áp dụng</t>
  </si>
  <si>
    <t>1. Mở màn hình "Danh sách hồ sơ pháp lý", chọn Loại KH = Cá nhân, Mã đầu mối = 31358001, Mã tệp = D11, click Tìm kiếm, click button Cấu hình hiển thị
2. Giữ và kéo trường Nhóm khách hàng sang vị trí khác
3. Click Áp dụng</t>
  </si>
  <si>
    <t>1. Mở màn hình "Danh sách hồ sơ pháp lý", chọn Loại KH = Cá nhân, Mã đầu mối = 31358001, Mã tệp = D11, click Tìm kiếm, click button Cấu hình hiển thị
2. Giữ và kéo trường Trạng thái sang vị trí khác
3. Click Áp dụng</t>
  </si>
  <si>
    <t>1. Mở màn hình "Danh sách hồ sơ pháp lý", chọn Loại KH = Cá nhân, Mã đầu mối = 31358001, Mã tệp = D11, click Tìm kiếm, click button Cấu hình hiển thị
2. Giữ và kéo trường Ngày cập nhật sang vị trí khác
3. Click Áp dụng</t>
  </si>
  <si>
    <t>1. Mở màn hình "Danh sách hồ sơ pháp lý", chọn Loại KH = Cá nhân, Mã đầu mối = 31358001, Mã tệp = D11, click Tìm kiếm, click button Cấu hình hiển thị
2. Giữ và kéo trường Người cập nhật sang vị trí khác
3. Click Áp dụng</t>
  </si>
  <si>
    <t>1. Mở màn hình "Danh sách hồ sơ pháp lý", chọn Loại KH = Cá nhân, Mã đầu mối = 31358001, Mã tệp = D11, click Tìm kiếm, click button Cấu hình hiển thị
2. Giữ và kéo trường Thao tác sang vị trí khác
3. Click Áp dụng</t>
  </si>
  <si>
    <t>Kiểm tra button Bỏ chọn (popup Cấu hình hiển thị)</t>
  </si>
  <si>
    <t>Kiểm tra hiển thị nút Bỏ chọn (popup Cấu hình hiển thị)</t>
  </si>
  <si>
    <t>1. Mở màn hình "Danh sách hồ sơ pháp lý", chọn Loại KH = Cá nhân, Mã đầu mối = 31358001, Mã tệp = D11, click Tìm kiếm, click button Cấu hình hiển thị
2. Quan sát nút Bỏ chọn (popup Cấu hình hiển thị)</t>
  </si>
  <si>
    <t>Button hiển thị, căn chỉnh như trong SRS</t>
  </si>
  <si>
    <t>Kiểm tra trạng thái enable/disable của nút Bỏ chọn (popup Cấu hình hiển thị)</t>
  </si>
  <si>
    <t>1. Mở màn hình "Danh sách hồ sơ pháp lý", chọn Loại KH = Cá nhân, Mã đầu mối = 31358001, Mã tệp = D11, click Tìm kiếm, click button Cấu hình hiển thị
2. Quan sát trạng thái nút Bỏ chọn (popup Cấu hình hiển thị) theo từng điều kiện</t>
  </si>
  <si>
    <t>Kiểm tra click nút Bỏ chọn (popup Cấu hình hiển thị)</t>
  </si>
  <si>
    <t>1. Mở màn hình "Danh sách hồ sơ pháp lý", chọn Loại KH = Cá nhân, Mã đầu mối = 31358001, Mã tệp = D11, click Tìm kiếm, click button Cấu hình hiển thị
2. Click nút Bỏ chọn (popup Cấu hình hiển thị)</t>
  </si>
  <si>
    <t>Bỏ chọn mọi trường không bị disable; các cột bắt buộc (Ngày báo cáo, Mã đầu mối, Mã khách hàng, Thao tác) vẫn được chọn</t>
  </si>
  <si>
    <t>Kiểm tra button Chọn tất cả (popup Cấu hình hiển thị)</t>
  </si>
  <si>
    <t>Kiểm tra hiển thị nút Chọn tất cả</t>
  </si>
  <si>
    <t>1. Mở màn hình "Danh sách hồ sơ pháp lý", chọn Loại KH = Cá nhân, Mã đầu mối = 31358001, Mã tệp = D11, click Tìm kiếm, click button Cấu hình hiển thị
2. Kiểm tra hiển thị button</t>
  </si>
  <si>
    <t>Button hiển thị "Chọn tất cả", căn chỉnh như trong SRS</t>
  </si>
  <si>
    <t>Kiểm tra trạng thái enable/disable của nút Chọn tất cả</t>
  </si>
  <si>
    <t>1. Mở màn hình "Danh sách hồ sơ pháp lý", chọn Loại KH = Cá nhân, Mã đầu mối = 31358001, Mã tệp = D11, click Tìm kiếm, click button Cấu hình hiển thị
2. Kiểm tra trạng thái button</t>
  </si>
  <si>
    <t>Kiểm tra click nút Chọn tất cả</t>
  </si>
  <si>
    <t>Trường hợp các trường option chưa được tích chọn</t>
  </si>
  <si>
    <t>1. Mở màn hình "Danh sách hồ sơ pháp lý", chọn Loại KH = Cá nhân, Mã đầu mối = 31358001, Mã tệp = D11, click Tìm kiếm, click button Cấu hình hiển thị
2. Click Bỏ chọn
3. Click Chọn tất cả</t>
  </si>
  <si>
    <t>Tích chọn tất cả các trường option</t>
  </si>
  <si>
    <t>Trường hợp đã có trường option được tích chọn</t>
  </si>
  <si>
    <t>1. Mở màn hình "Danh sách hồ sơ pháp lý", chọn Loại KH = Cá nhân, Mã đầu mối = 31358001, Mã tệp = D11, click Tìm kiếm, click button Cấu hình hiển thị
2. Giữ trạng thái mặc định
3. Click Chọn tất cả</t>
  </si>
  <si>
    <t>Tích chọn tất cả các trường option, trường đã chọn giữ nguyên</t>
  </si>
  <si>
    <t>Kiểm tra căn lề button</t>
  </si>
  <si>
    <t>Kiểm tra căn lề nút Chọn tất cả</t>
  </si>
  <si>
    <t>1. Mở màn hình "Danh sách hồ sơ pháp lý", chọn Loại KH = Cá nhân, Mã đầu mối = 31358001, Mã tệp = D11, click Tìm kiếm, click button Cấu hình hiển thị
2. Kiểm tra căn lề</t>
  </si>
  <si>
    <t>Căn lề phải</t>
  </si>
  <si>
    <t>Kiểm tra button Áp dụng (popup Cấu hình hiển thị)</t>
  </si>
  <si>
    <t>Kiểm tra hiển thị nút Áp dụng (popup Cấu hình hiển thị)</t>
  </si>
  <si>
    <t>1. Mở màn hình "Danh sách hồ sơ pháp lý", chọn Loại KH = Cá nhân, Mã đầu mối = 31358001, Mã tệp = D11, click Tìm kiếm, click button Cấu hình hiển thị
2. Quan sát nút Áp dụng (popup Cấu hình hiển thị)</t>
  </si>
  <si>
    <t>Button "Áp dụng" là Primary button của popup</t>
  </si>
  <si>
    <t>Kiểm tra trạng thái enable/disable của nút Áp dụng (popup Cấu hình hiển thị)</t>
  </si>
  <si>
    <t>1. Mở màn hình "Danh sách hồ sơ pháp lý", chọn Loại KH = Cá nhân, Mã đầu mối = 31358001, Mã tệp = D11, click Tìm kiếm, click button Cấu hình hiển thị
2. Quan sát trạng thái nút Áp dụng (popup Cấu hình hiển thị) theo từng điều kiện</t>
  </si>
  <si>
    <t>Kiểm tra click nút Áp dụng (popup Cấu hình hiển thị)</t>
  </si>
  <si>
    <t>1. Mở màn hình "Danh sách hồ sơ pháp lý", chọn Loại KH = Cá nhân, Mã đầu mối = 31358001, Mã tệp = D11, click Tìm kiếm, click button Cấu hình hiển thị
2. Click nút Áp dụng (popup Cấu hình hiển thị)</t>
  </si>
  <si>
    <t>Đóng popup; lưới hiển thị đúng các cột đã chọn và thứ tự đã kéo thả; cấu hình được lưu trên máy người dùng, giữ sau F5 (BR-021)</t>
  </si>
  <si>
    <t>Kiểm tra icon đóng (X) trên popup Cấu hình hiển thị</t>
  </si>
  <si>
    <t>Kiểm tra hiển thị icon đóng</t>
  </si>
  <si>
    <t>Kiểm tra hiển thị icon X</t>
  </si>
  <si>
    <t>1. Mở màn hình "Danh sách hồ sơ pháp lý", chọn Loại KH = Cá nhân, Mã đầu mối = 31358001, Mã tệp = D11, click Tìm kiếm, click button Cấu hình hiển thị
2. Quan sát góc trên bên phải popup</t>
  </si>
  <si>
    <t>Icon X hiển thị góc trên bên phải popup</t>
  </si>
  <si>
    <t>Kiểm tra click icon đóng</t>
  </si>
  <si>
    <t>Kiểm tra click icon X</t>
  </si>
  <si>
    <t>Đã bỏ chọn cột Địa chỉ nhưng chưa Áp dụng</t>
  </si>
  <si>
    <t>1. Mở màn hình "Danh sách hồ sơ pháp lý", chọn Loại KH = Cá nhân, Mã đầu mối = 31358001, Mã tệp = D11, click Tìm kiếm, click button Cấu hình hiển thị
2. Bỏ chọn Địa chỉ
3. Click icon X</t>
  </si>
  <si>
    <t>Đóng popup, không áp dụng thay đổi; lưới vẫn hiển thị cột Địa chỉ</t>
  </si>
  <si>
    <t>Kiểm tra button Xuất Excel</t>
  </si>
  <si>
    <t>Kiểm tra xuất trang hiện tại</t>
  </si>
  <si>
    <t>Trang 2, 20 bản ghi/trang</t>
  </si>
  <si>
    <t>1. Mở màn hình "Danh sách hồ sơ pháp lý", chọn Loại KH = Cá nhân, Mã đầu mối = 31358001, Mã tệp = D11, click Tìm kiếm
2. Sang trang 2
3. Click Xuất Excel → Xuất trang hiện tại</t>
  </si>
  <si>
    <t>Tệp chỉ chứa đúng 20 bản ghi của trang 2 (BR-022)</t>
  </si>
  <si>
    <t>Kiểm tra xuất theo bộ lọc</t>
  </si>
  <si>
    <t>987 bản ghi thỏa bộ lọc</t>
  </si>
  <si>
    <t>1. Mở màn hình "Danh sách hồ sơ pháp lý", chọn Loại KH = Cá nhân, Mã đầu mối = 31358001, Mã tệp = D11, click Tìm kiếm
2. Click Xuất Excel → Xuất theo bộ lọc</t>
  </si>
  <si>
    <t>Tệp chứa đủ 987 bản ghi của mọi trang; gồm mọi trường có thể chọn trong Cấu hình hiển thị (kể cả cột đang ẩn), không gồm cột Thao tác (BR-022, assumption Q28)</t>
  </si>
  <si>
    <t>Kiểm tra tên file xuất</t>
  </si>
  <si>
    <t>Kiểm tra tên tệp</t>
  </si>
  <si>
    <t>Thực hiện ngày 12/10/2026</t>
  </si>
  <si>
    <t>1. Mở màn hình "Danh sách hồ sơ pháp lý", chọn Loại KH = Cá nhân, Mã đầu mối = 31358001, Mã tệp = D11, click Tìm kiếm
2. Xuất Excel</t>
  </si>
  <si>
    <t>Tên tệp HoSoPhapLy_12102026.xlsx theo ngày thực hiện (BR-022 — SRS ưu tiên hơn quy tắc tên tệp chung)</t>
  </si>
  <si>
    <t>Kiểm tra xuất khi dữ liệu rất lớn</t>
  </si>
  <si>
    <t>Kiểm tra xuất &gt; 1.000.000 dòng</t>
  </si>
  <si>
    <t>Bộ lọc trả &gt; 1.000.000 bản ghi</t>
  </si>
  <si>
    <t>1. Mở màn hình "Danh sách hồ sơ pháp lý", chọn Loại KH = Cá nhân, Mã đầu mối = 31358001, Mã tệp = D11, click Tìm kiếm
2. Xuất theo bộ lọc</t>
  </si>
  <si>
    <t>Hệ thống xuất tệp .zip gồm nhiều tệp .xlsx, mỗi tệp tối đa 1.000.000 dòng (Quy tắc component)</t>
  </si>
  <si>
    <t>Kiểm tra xuất khi không có dữ liệu</t>
  </si>
  <si>
    <t>Kiểm tra xuất khi bộ lọc rỗng</t>
  </si>
  <si>
    <t>Điều kiện không khớp bản ghi</t>
  </si>
  <si>
    <t>1. Tìm kiếm điều kiện không khớp
2. Xuất theo bộ lọc</t>
  </si>
  <si>
    <t>Tệp chỉ có hàng tiêu đề (assumption Q28)</t>
  </si>
  <si>
    <t>Kiểm tra xuất khi API lỗi</t>
  </si>
  <si>
    <t>Kiểm tra lỗi API khi xuất</t>
  </si>
  <si>
    <t>Giả lập API lỗi / time out</t>
  </si>
  <si>
    <t>Hiển thị "Lỗi hệ thống" hoặc "Yêu cầu này mất quá nhiều thời gian để phản hồi"; không tải tệp lỗi</t>
  </si>
  <si>
    <t>Kiểm tra xuất khi hết phiên đăng nhập</t>
  </si>
  <si>
    <t>Kiểm tra token hết hạn</t>
  </si>
  <si>
    <t>Token hết hạn</t>
  </si>
  <si>
    <t>1. Mở màn hình "Danh sách hồ sơ pháp lý", chọn Loại KH = Cá nhân, Mã đầu mối = 31358001, Mã tệp = D11, click Tìm kiếm
2. Chờ token hết hạn
3. Xuất Excel</t>
  </si>
  <si>
    <t>Điều hướng về trang đăng nhập</t>
  </si>
  <si>
    <t>Kiểm tra button Xuất trang hiện tại</t>
  </si>
  <si>
    <t>Kiểm tra hiển thị nút Xuất trang hiện tại</t>
  </si>
  <si>
    <t>1. Mở màn hình "Danh sách hồ sơ pháp lý", chọn Loại KH = Cá nhân, Mã đầu mối = 31358001, Mã tệp = D11, click Tìm kiếm, click Xuất Excel
2. Quan sát nút Xuất trang hiện tại</t>
  </si>
  <si>
    <t>Lựa chọn "Xuất trang hiện tại" hiển thị trong menu Xuất Excel</t>
  </si>
  <si>
    <t>Kiểm tra trạng thái enable/disable của nút Xuất trang hiện tại</t>
  </si>
  <si>
    <t>1. Mở màn hình "Danh sách hồ sơ pháp lý", chọn Loại KH = Cá nhân, Mã đầu mối = 31358001, Mã tệp = D11, click Tìm kiếm, click Xuất Excel
2. Quan sát trạng thái nút Xuất trang hiện tại theo từng điều kiện</t>
  </si>
  <si>
    <t>Luôn enable</t>
  </si>
  <si>
    <t>Kiểm tra click nút Xuất trang hiện tại</t>
  </si>
  <si>
    <t>1. Mở màn hình "Danh sách hồ sơ pháp lý", chọn Loại KH = Cá nhân, Mã đầu mối = 31358001, Mã tệp = D11, click Tìm kiếm, click Xuất Excel
2. Click nút Xuất trang hiện tại</t>
  </si>
  <si>
    <t>Tải tệp chứa bản ghi của trang hiện tại</t>
  </si>
  <si>
    <t>Kiểm tra button Xuất theo bộ lọc</t>
  </si>
  <si>
    <t>Kiểm tra hiển thị nút Xuất theo bộ lọc</t>
  </si>
  <si>
    <t>1. Mở màn hình "Danh sách hồ sơ pháp lý", chọn Loại KH = Cá nhân, Mã đầu mối = 31358001, Mã tệp = D11, click Tìm kiếm, click Xuất Excel
2. Quan sát nút Xuất theo bộ lọc</t>
  </si>
  <si>
    <t>Lựa chọn "Xuất theo bộ lọc" hiển thị trong menu Xuất Excel</t>
  </si>
  <si>
    <t>Kiểm tra trạng thái enable/disable của nút Xuất theo bộ lọc</t>
  </si>
  <si>
    <t>1. Mở màn hình "Danh sách hồ sơ pháp lý", chọn Loại KH = Cá nhân, Mã đầu mối = 31358001, Mã tệp = D11, click Tìm kiếm, click Xuất Excel
2. Quan sát trạng thái nút Xuất theo bộ lọc theo từng điều kiện</t>
  </si>
  <si>
    <t>Kiểm tra click nút Xuất theo bộ lọc</t>
  </si>
  <si>
    <t>1. Mở màn hình "Danh sách hồ sơ pháp lý", chọn Loại KH = Cá nhân, Mã đầu mối = 31358001, Mã tệp = D11, click Tìm kiếm, click Xuất Excel
2. Click nút Xuất theo bộ lọc</t>
  </si>
  <si>
    <t>Tải tệp chứa mọi bản ghi thỏa bộ lọc đang áp dụng</t>
  </si>
  <si>
    <t>Kiểm tra button In trang hiện tại</t>
  </si>
  <si>
    <t>Kiểm tra hiển thị nút In trang hiện tại</t>
  </si>
  <si>
    <t>1. Mở màn hình "Danh sách hồ sơ pháp lý", chọn Loại KH = Cá nhân, Mã đầu mối = 31358001, Mã tệp = D11, click Tìm kiếm, click Xuất Excel
2. Quan sát nút In trang hiện tại</t>
  </si>
  <si>
    <t>Lựa chọn "In trang hiện tại" hiển thị trong menu Xuất Excel</t>
  </si>
  <si>
    <t>Kiểm tra trạng thái enable/disable của nút In trang hiện tại</t>
  </si>
  <si>
    <t>1. Mở màn hình "Danh sách hồ sơ pháp lý", chọn Loại KH = Cá nhân, Mã đầu mối = 31358001, Mã tệp = D11, click Tìm kiếm, click Xuất Excel
2. Quan sát trạng thái nút In trang hiện tại theo từng điều kiện</t>
  </si>
  <si>
    <t>Kiểm tra click nút In trang hiện tại</t>
  </si>
  <si>
    <t>1. Mở màn hình "Danh sách hồ sơ pháp lý", chọn Loại KH = Cá nhân, Mã đầu mối = 31358001, Mã tệp = D11, click Tìm kiếm, click Xuất Excel
2. Click nút In trang hiện tại</t>
  </si>
  <si>
    <t>Hiển thị màn xem trước bản in của trang hiện tại theo cột đang hiển thị, in ra máy in mặc định (BR-022, assumption Q28)</t>
  </si>
  <si>
    <t>Kiểm tra button Thêm bộ lọc</t>
  </si>
  <si>
    <t>Kiểm tra hiển thị nút Thêm bộ lọc</t>
  </si>
  <si>
    <t>1. Mở màn hình "Danh sách hồ sơ pháp lý"
2. Quan sát nút Thêm bộ lọc</t>
  </si>
  <si>
    <t>Button hiển thị giống như trong SRS: góc phải vùng điều kiện, cạnh Làm mới, Tìm kiếm</t>
  </si>
  <si>
    <t>Kiểm tra trạng thái enable/disable của nút Thêm bộ lọc</t>
  </si>
  <si>
    <t>1. Mở màn hình "Danh sách hồ sơ pháp lý"
2. Quan sát trạng thái nút Thêm bộ lọc theo từng điều kiện</t>
  </si>
  <si>
    <t>Kiểm tra click nút Thêm bộ lọc</t>
  </si>
  <si>
    <t>1. Mở màn hình "Danh sách hồ sơ pháp lý"
2. Click nút Thêm bộ lọc</t>
  </si>
  <si>
    <t>Hiển thị popup Thêm bộ lọc gồm danh sách bộ lọc kèm checkbox:
- Loại khách hàng (disabled, luôn check)
- Mã đầu mối (disabled, luôn check)
- Mã tệp (disabled, luôn check)
- Mã CIC (mặc định check)
- Tên tệp (mặc định uncheck)
- Mã khách hàng (mặc định check)
- Nhóm khách hàng (mặc định check)
- Trạng thái (mặc định check)
- Người cập nhật (mặc định check)
- CCCD/CMND (mặc định uncheck)
- Từ ngày cập nhật → Đến ngày cập nhật (mặc định check)
- Từ ngày báo cáo → Đến ngày báo cáo (mặc định check) (BR-019)</t>
  </si>
  <si>
    <t>Kiểm tra popup Thêm bộ lọc</t>
  </si>
  <si>
    <t>Kiểm tra mặc định popup</t>
  </si>
  <si>
    <t>Kiểm tra mặc định tích chọn</t>
  </si>
  <si>
    <t>1. Mở màn hình "Danh sách hồ sơ pháp lý", click button Thêm bộ lọc
2. Kiểm tra mặc định tích chọn</t>
  </si>
  <si>
    <t>Các checkbox mặc định:
- Loại khách hàng (disabled, luôn check)
- Mã đầu mối (disabled, luôn check)
- Mã tệp (disabled, luôn check)
- Mã CIC (mặc định check)
- Tên tệp (mặc định uncheck)
- Mã khách hàng (mặc định check)
- Nhóm khách hàng (mặc định check)
- Trạng thái (mặc định check)
- Người cập nhật (mặc định check)
- CCCD/CMND (mặc định uncheck)
- Từ ngày cập nhật → Đến ngày cập nhật (mặc định check)
- Từ ngày báo cáo → Đến ngày báo cáo (mặc định check)
Khớp với các bộ lọc đang hiển thị trên vùng điều kiện (BR-019)</t>
  </si>
  <si>
    <t>Kiểm tra thao tác check/uncheck</t>
  </si>
  <si>
    <t>1. Mở màn hình "Danh sách hồ sơ pháp lý", click button Thêm bộ lọc
2. Check/uncheck bộ lọc Loại khách hàng</t>
  </si>
  <si>
    <t>1. Mở màn hình "Danh sách hồ sơ pháp lý", click button Thêm bộ lọc
2. Check/uncheck bộ lọc Mã đầu mối</t>
  </si>
  <si>
    <t>1. Mở màn hình "Danh sách hồ sơ pháp lý", click button Thêm bộ lọc
2. Check/uncheck bộ lọc Mã tệp</t>
  </si>
  <si>
    <t>1. Mở màn hình "Danh sách hồ sơ pháp lý", click button Thêm bộ lọc
2. Check/uncheck bộ lọc Mã CIC</t>
  </si>
  <si>
    <t>Checkbox mặc định check và enable, cho phép check/uncheck — check: bộ lọc Mã CIC hiển thị trên vùng điều kiện; uncheck: bộ lọc ẩn và giá trị bị loại khỏi điều kiện tìm kiếm (assumption Q29)</t>
  </si>
  <si>
    <t>1. Mở màn hình "Danh sách hồ sơ pháp lý", click button Thêm bộ lọc
2. Check/uncheck bộ lọc Tên tệp</t>
  </si>
  <si>
    <t>Checkbox mặc định uncheck và enable, cho phép check/uncheck — check: bộ lọc Tên tệp hiển thị trên vùng điều kiện; uncheck: bộ lọc ẩn và giá trị bị loại khỏi điều kiện tìm kiếm (assumption Q29)</t>
  </si>
  <si>
    <t>1. Mở màn hình "Danh sách hồ sơ pháp lý", click button Thêm bộ lọc
2. Check/uncheck bộ lọc Mã khách hàng</t>
  </si>
  <si>
    <t>Checkbox mặc định check và enable, cho phép check/uncheck — check: bộ lọc Mã khách hàng hiển thị trên vùng điều kiện; uncheck: bộ lọc ẩn và giá trị bị loại khỏi điều kiện tìm kiếm (assumption Q29)</t>
  </si>
  <si>
    <t>1. Mở màn hình "Danh sách hồ sơ pháp lý", click button Thêm bộ lọc
2. Check/uncheck bộ lọc Nhóm khách hàng</t>
  </si>
  <si>
    <t>Checkbox mặc định check và enable, cho phép check/uncheck — check: bộ lọc Nhóm khách hàng hiển thị trên vùng điều kiện; uncheck: bộ lọc ẩn và giá trị bị loại khỏi điều kiện tìm kiếm (assumption Q29)</t>
  </si>
  <si>
    <t>1. Mở màn hình "Danh sách hồ sơ pháp lý", click button Thêm bộ lọc
2. Check/uncheck bộ lọc Trạng thái</t>
  </si>
  <si>
    <t>Checkbox mặc định check và enable, cho phép check/uncheck — check: bộ lọc Trạng thái hiển thị trên vùng điều kiện; uncheck: bộ lọc ẩn và giá trị bị loại khỏi điều kiện tìm kiếm (assumption Q29)</t>
  </si>
  <si>
    <t>1. Mở màn hình "Danh sách hồ sơ pháp lý", click button Thêm bộ lọc
2. Check/uncheck bộ lọc Người cập nhật</t>
  </si>
  <si>
    <t>Checkbox mặc định check và enable, cho phép check/uncheck — check: bộ lọc Người cập nhật hiển thị trên vùng điều kiện; uncheck: bộ lọc ẩn và giá trị bị loại khỏi điều kiện tìm kiếm (assumption Q29)</t>
  </si>
  <si>
    <t>CCCD/CMND</t>
  </si>
  <si>
    <t>1. Mở màn hình "Danh sách hồ sơ pháp lý", click button Thêm bộ lọc
2. Check/uncheck bộ lọc CCCD/CMND</t>
  </si>
  <si>
    <t>Checkbox mặc định uncheck và enable, cho phép check/uncheck — check: bộ lọc CCCD/CMND hiển thị trên vùng điều kiện; uncheck: bộ lọc ẩn và giá trị bị loại khỏi điều kiện tìm kiếm (assumption Q29)</t>
  </si>
  <si>
    <t>Từ ngày cập nhật → Đến ngày cập nhật</t>
  </si>
  <si>
    <t>1. Mở màn hình "Danh sách hồ sơ pháp lý", click button Thêm bộ lọc
2. Check/uncheck bộ lọc Từ ngày cập nhật → Đến ngày cập nhật</t>
  </si>
  <si>
    <t>Checkbox mặc định check và enable, cho phép check/uncheck — check: bộ lọc Từ ngày cập nhật → Đến ngày cập nhật hiển thị trên vùng điều kiện; uncheck: bộ lọc ẩn và giá trị bị loại khỏi điều kiện tìm kiếm (assumption Q29)</t>
  </si>
  <si>
    <t>Từ ngày báo cáo → Đến ngày báo cáo</t>
  </si>
  <si>
    <t>1. Mở màn hình "Danh sách hồ sơ pháp lý", click button Thêm bộ lọc
2. Check/uncheck bộ lọc Từ ngày báo cáo → Đến ngày báo cáo</t>
  </si>
  <si>
    <t>Checkbox mặc định check và enable, cho phép check/uncheck — check: bộ lọc Từ ngày báo cáo → Đến ngày báo cáo hiển thị trên vùng điều kiện; uncheck: bộ lọc ẩn và giá trị bị loại khỏi điều kiện tìm kiếm (assumption Q29)</t>
  </si>
  <si>
    <t>Kiểm tra button Làm mới</t>
  </si>
  <si>
    <t>Kiểm tra hiển thị nút Làm mới</t>
  </si>
  <si>
    <t>1. Mở màn hình "Danh sách hồ sơ pháp lý"
2. Quan sát nút Làm mới</t>
  </si>
  <si>
    <t>Nút/icon "Làm mới" cạnh nút Tìm kiếm</t>
  </si>
  <si>
    <t>Kiểm tra trạng thái enable/disable của nút Làm mới</t>
  </si>
  <si>
    <t>1. Mở màn hình "Danh sách hồ sơ pháp lý"
2. Quan sát trạng thái nút Làm mới theo từng điều kiện</t>
  </si>
  <si>
    <t>Kiểm tra click nút Làm mới</t>
  </si>
  <si>
    <t>1. Mở màn hình "Danh sách hồ sơ pháp lý"
2. Click nút Làm mới</t>
  </si>
  <si>
    <t>Xóa mọi điều kiện, trả về điều kiện như khi mở màn lần đầu (Cá nhân, D10, Mã đầu mối trống); lưới về trạng thái "Chưa có dữ liệu. Vui lòng chọn tiêu chí tìm kiếm." (assumption Q20)</t>
  </si>
  <si>
    <t>Kiểm tra button Tìm kiếm</t>
  </si>
  <si>
    <t>Kiểm tra hiển thị nút Tìm kiếm</t>
  </si>
  <si>
    <t>1. Mở màn hình "Danh sách hồ sơ pháp lý"
2. Quan sát nút Tìm kiếm</t>
  </si>
  <si>
    <t>Nút "Tìm kiếm" là Primary button của vùng điều kiện</t>
  </si>
  <si>
    <t>Kiểm tra trạng thái enable/disable của nút Tìm kiếm</t>
  </si>
  <si>
    <t>1. Mở màn hình "Danh sách hồ sơ pháp lý"
2. Quan sát trạng thái nút Tìm kiếm theo từng điều kiện</t>
  </si>
  <si>
    <t>Kiểm tra click nút Tìm kiếm</t>
  </si>
  <si>
    <t>1. Mở màn hình "Danh sách hồ sơ pháp lý"
2. Click nút Tìm kiếm</t>
  </si>
  <si>
    <t>Kiểm tra 3 điều kiện bắt buộc và khoảng ngày, hiển thị kết quả sắp theo Ngày cập nhật giảm dần, 20 bản ghi/trang (BR-013, BR-018, BR-020)</t>
  </si>
  <si>
    <t>Kiểm tra button Xử lý hồ sơ (dải thao tác hàng loạt)</t>
  </si>
  <si>
    <t>Kiểm tra hiển thị nút Xử lý hồ sơ (dải thao tác hàng loạt)</t>
  </si>
  <si>
    <t>1. Mở màn hình "Danh sách hồ sơ pháp lý", chọn Loại KH = Cá nhân, Mã đầu mối = 31358001, Mã tệp = D11, click Tìm kiếm, tick 1 hồ sơ Chờ xem xét
2. Quan sát nút Xử lý hồ sơ (dải thao tác hàng loạt)</t>
  </si>
  <si>
    <t>Nút "Xử lý hồ sơ" trên dải thao tác hàng loạt, bên phải "Đã chọn n hồ sơ"</t>
  </si>
  <si>
    <t>Kiểm tra trạng thái enable/disable của nút Xử lý hồ sơ (dải thao tác hàng loạt)</t>
  </si>
  <si>
    <t>1. Mở màn hình "Danh sách hồ sơ pháp lý", chọn Loại KH = Cá nhân, Mã đầu mối = 31358001, Mã tệp = D11, click Tìm kiếm, tick 1 hồ sơ Chờ xem xét
2. Quan sát trạng thái nút Xử lý hồ sơ (dải thao tác hàng loạt) theo từng điều kiện</t>
  </si>
  <si>
    <t>Chỉ hiển thị khi có ≥ 1 hồ sơ được chọn (BR-026)</t>
  </si>
  <si>
    <t>Kiểm tra click nút Xử lý hồ sơ (dải thao tác hàng loạt)</t>
  </si>
  <si>
    <t>1. Mở màn hình "Danh sách hồ sơ pháp lý", chọn Loại KH = Cá nhân, Mã đầu mối = 31358001, Mã tệp = D11, click Tìm kiếm, tick 1 hồ sơ Chờ xem xét
2. Click nút Xử lý hồ sơ (dải thao tác hàng loạt)</t>
  </si>
  <si>
    <t>1 hồ sơ D10/D11 → popup "Xử lý hồ sơ pháp lý tệp D10/D11"; 1 hồ sơ Q11 → popup "Xử lý hồ sơ pháp lý tệp Q11"; ≥ 2 hồ sơ → màn hình "Xử lý đồng thời hồ sơ pháp lý" (BR-026)</t>
  </si>
  <si>
    <t>Kiểm tra button Bỏ chọn</t>
  </si>
  <si>
    <t>Kiểm tra hiển thị nút Bỏ chọn</t>
  </si>
  <si>
    <t>1. Mở màn hình "Danh sách hồ sơ pháp lý", chọn Loại KH = Cá nhân, Mã đầu mối = 31358001, Mã tệp = D11, click Tìm kiếm, tick 2 hồ sơ Chờ xem xét
2. Quan sát nút Bỏ chọn</t>
  </si>
  <si>
    <t>Nút "Bỏ chọn" trên dải thao tác hàng loạt</t>
  </si>
  <si>
    <t>Kiểm tra trạng thái enable/disable của nút Bỏ chọn</t>
  </si>
  <si>
    <t>1. Mở màn hình "Danh sách hồ sơ pháp lý", chọn Loại KH = Cá nhân, Mã đầu mối = 31358001, Mã tệp = D11, click Tìm kiếm, tick 2 hồ sơ Chờ xem xét
2. Quan sát trạng thái nút Bỏ chọn theo từng điều kiện</t>
  </si>
  <si>
    <t>Chỉ hiển thị khi có ≥ 1 hồ sơ được chọn</t>
  </si>
  <si>
    <t>Kiểm tra click nút Bỏ chọn</t>
  </si>
  <si>
    <t>1. Mở màn hình "Danh sách hồ sơ pháp lý", chọn Loại KH = Cá nhân, Mã đầu mối = 31358001, Mã tệp = D11, click Tìm kiếm, tick 2 hồ sơ Chờ xem xét
2. Click nút Bỏ chọn</t>
  </si>
  <si>
    <t>Bỏ chọn mọi hồ sơ, dải thao tác và banner INF_009 ẩn (BR-025, BR-026)</t>
  </si>
  <si>
    <t>Kiểm tra Dropdown Loại khách hàng</t>
  </si>
  <si>
    <t>Hiển thị Dropdown Loại khách hàng</t>
  </si>
  <si>
    <t>1. Mở màn hình "Danh sách hồ sơ pháp lý"
2. Quan sát Dropdown Loại khách hàng</t>
  </si>
  <si>
    <t>Dropdown hiển thị đúng vị trí, kích thước theo thiết kế, có icon mũi tên; click toàn bộ vùng control đều mở danh sách</t>
  </si>
  <si>
    <t>Giá trị mặc định khi mở màn hình</t>
  </si>
  <si>
    <t>1. Mở màn hình "Danh sách hồ sơ pháp lý"
2. Quan sát giá trị Dropdown Loại khách hàng</t>
  </si>
  <si>
    <t>Mặc định "Cá nhân" (BR-013)</t>
  </si>
  <si>
    <t>Kiểm tra placeholder</t>
  </si>
  <si>
    <t>Placeholder khi chưa có giá trị</t>
  </si>
  <si>
    <t>1. Mở màn hình "Danh sách hồ sơ pháp lý"
2. Quan sát placeholder Dropdown Loại khách hàng</t>
  </si>
  <si>
    <t>Không áp dụng — luôn có giá trị mặc định</t>
  </si>
  <si>
    <t>Kiểm tra trường bắt buộc</t>
  </si>
  <si>
    <t>Tính bắt buộc của trường</t>
  </si>
  <si>
    <t>1. Mở màn hình "Danh sách hồ sơ pháp lý"
2. Quan sát nhãn / dấu (*) của Loại khách hàng</t>
  </si>
  <si>
    <t>Có dấu (*); bắt buộc chọn đúng một giá trị (BR-013)</t>
  </si>
  <si>
    <t>Kiểm tra options hiển thị đúng</t>
  </si>
  <si>
    <t>Danh sách option</t>
  </si>
  <si>
    <t>1. Mở màn hình "Danh sách hồ sơ pháp lý"
2. Click mở Dropdown Loại khách hàng</t>
  </si>
  <si>
    <t>Đúng 2 option: Cá nhân, Tổ chức</t>
  </si>
  <si>
    <t>Kiểm tra sử dụng bàn phím</t>
  </si>
  <si>
    <t>Thao tác hoàn toàn bằng bàn phím</t>
  </si>
  <si>
    <t>1. Mở màn hình "Danh sách hồ sơ pháp lý", nhấn Tab/Shift+Tab focus vào Dropdown Loại khách hàng
2. Nhấn phím Enter
3. Nhấn phím Up/Down
4. Nhấn phím Enter khi đang focus một giá trị
5. Nhấn Tab/Shift+Tab</t>
  </si>
  <si>
    <t>1. Dropdown được focus
2. Danh sách lựa chọn hiển thị
3. Con trỏ di chuyển theo danh sách lựa chọn
4. Giá trị được chọn và hiển thị lên dropdown
5. Con trỏ di chuyển đến control tiếp theo / trước đó</t>
  </si>
  <si>
    <t>Kiểm tra hiển thị scroll</t>
  </si>
  <si>
    <t>Số option &lt; 5</t>
  </si>
  <si>
    <t>Danh sách thực tế 2 option</t>
  </si>
  <si>
    <t>1. Mở màn hình "Danh sách hồ sơ pháp lý"
2. Mở Dropdown Loại khách hàng</t>
  </si>
  <si>
    <t>Không hiển thị thanh scroll</t>
  </si>
  <si>
    <t>Số option = 5</t>
  </si>
  <si>
    <t>Danh sách theo SRS cố định 2 giá trị — giả lập danh mục trên môi trường test có 5 option</t>
  </si>
  <si>
    <t>Số option &gt; 5</t>
  </si>
  <si>
    <t>Danh sách theo SRS cố định 2 giá trị — giả lập danh mục trên môi trường test có &gt; 10 option</t>
  </si>
  <si>
    <t>1. Mở màn hình "Danh sách hồ sơ pháp lý"
2. Mở Dropdown Loại khách hàng
3. Cuộn danh sách</t>
  </si>
  <si>
    <t>Hiển thị thanh scroll; mặc định hiển thị 10 item, phần còn lại tải khi cuộn hoặc tìm kiếm (virtual scroll — Quy tắc component)</t>
  </si>
  <si>
    <t>Kiểm tra chọn giá trị</t>
  </si>
  <si>
    <t>Chọn 1 giá trị</t>
  </si>
  <si>
    <t>Chọn một option bất kỳ</t>
  </si>
  <si>
    <t>1. Mở màn hình "Danh sách hồ sơ pháp lý"
2. Mở Dropdown Loại khách hàng
3. Click một option</t>
  </si>
  <si>
    <t>Giá trị được chọn hiển thị lên dropdown, danh sách đóng lại, giá trị được focus</t>
  </si>
  <si>
    <t>Chọn nhiều giá trị</t>
  </si>
  <si>
    <t>Chọn lần lượt 2 option</t>
  </si>
  <si>
    <t>1. Mở màn hình "Danh sách hồ sơ pháp lý"
2. Chọn option thứ nhất
3. Mở lại và chọn option thứ hai</t>
  </si>
  <si>
    <t>Không cho phép chọn nhiều; dropdown hiển thị giá trị chọn gần nhất</t>
  </si>
  <si>
    <t>Bỏ chọn giá trị đã chọn</t>
  </si>
  <si>
    <t>Xóa giá trị đã chọn</t>
  </si>
  <si>
    <t>1. Mở màn hình "Danh sách hồ sơ pháp lý"
2. Chọn một option
3. Thực hiện bỏ chọn (icon x / phím Delete)</t>
  </si>
  <si>
    <t>Không cho bỏ chọn về rỗng: dropdown luôn giữ một giá trị (trường bắt buộc chọn đúng một giá trị — BR-013)</t>
  </si>
  <si>
    <t>Trường hợp call API thành công</t>
  </si>
  <si>
    <t>Dữ liệu trả về khác rỗng</t>
  </si>
  <si>
    <t>1. Click mở danh sách</t>
  </si>
  <si>
    <t>Danh sách hiển thị đầy đủ options đúng theo dữ liệu API trả về</t>
  </si>
  <si>
    <t>Dữ liệu trả về là rỗng</t>
  </si>
  <si>
    <t>1. Giả lập API trả về danh sách rỗng
2. Click mở danh sách</t>
  </si>
  <si>
    <t>Danh sách hiển thị trạng thái rỗng "Không có dữ liệu" kèm icon</t>
  </si>
  <si>
    <t>Trường hợp call API bị thất bại</t>
  </si>
  <si>
    <t>API trả lỗi 500 / mất kết nối</t>
  </si>
  <si>
    <t>1. Giả lập API lỗi
2. Click mở danh sách</t>
  </si>
  <si>
    <t>Hiển thị thông báo lỗi hoặc trạng thái rỗng; giao diện không bị treo/crash</t>
  </si>
  <si>
    <t>Trường hợp call API bị time out</t>
  </si>
  <si>
    <t>API phản hồi quá thời gian chờ</t>
  </si>
  <si>
    <t>1. Giả lập API time out
2. Click mở danh sách</t>
  </si>
  <si>
    <t>Hiển thị loading trong thời gian chờ; sau time out hiển thị thông báo lỗi hoặc trạng thái rỗng; UI không treo</t>
  </si>
  <si>
    <t>Kiểm tra dropdown bắt buộc không cho bỏ chọn</t>
  </si>
  <si>
    <t>Dropdown bắt buộc luôn có giá trị</t>
  </si>
  <si>
    <t>1. Mở màn hình "Danh sách hồ sơ pháp lý"
2. Thử xóa giá trị của Dropdown Loại khách hàng</t>
  </si>
  <si>
    <t>Không thể xóa về rỗng; giá trị vẫn được gửi khi Tìm kiếm</t>
  </si>
  <si>
    <t>Kiểm tra Dropdown Mã đầu mối</t>
  </si>
  <si>
    <t>Hiển thị Dropdown Mã đầu mối</t>
  </si>
  <si>
    <t>1. Mở màn hình "Danh sách hồ sơ pháp lý"
2. Quan sát Dropdown Mã đầu mối</t>
  </si>
  <si>
    <t>1. Mở màn hình "Danh sách hồ sơ pháp lý"
2. Quan sát giá trị Dropdown Mã đầu mối</t>
  </si>
  <si>
    <t>Trống</t>
  </si>
  <si>
    <t>1. Mở màn hình "Danh sách hồ sơ pháp lý"
2. Quan sát placeholder Dropdown Mã đầu mối</t>
  </si>
  <si>
    <t>Hiển thị placeholder "Mã đầu mối"</t>
  </si>
  <si>
    <t>1. Mở màn hình "Danh sách hồ sơ pháp lý"
2. Quan sát nhãn / dấu (*) của Mã đầu mối</t>
  </si>
  <si>
    <t>Có dấu (*); thiếu thì Tìm kiếm báo WAR_009 (BR-013)</t>
  </si>
  <si>
    <t>1. Mở màn hình "Danh sách hồ sơ pháp lý"
2. Click mở Dropdown Mã đầu mối</t>
  </si>
  <si>
    <t>Chỉ gồm đầu mối được đánh dấu gửi báo cáo trong NV-16 VÀ thuộc TCTD được phân quyền (BR-014, Q21); hiển thị mã - tên</t>
  </si>
  <si>
    <t>1. Mở màn hình "Danh sách hồ sơ pháp lý", nhấn Tab/Shift+Tab focus vào Dropdown Mã đầu mối
2. Nhấn phím Enter
3. Nhấn phím Up/Down
4. Nhấn phím Enter khi đang focus một giá trị
5. Nhấn Tab/Shift+Tab</t>
  </si>
  <si>
    <t>Dữ liệu nguồn có 3 option</t>
  </si>
  <si>
    <t>1. Mở màn hình "Danh sách hồ sơ pháp lý"
2. Mở Dropdown Mã đầu mối</t>
  </si>
  <si>
    <t>Dữ liệu nguồn có 5 option</t>
  </si>
  <si>
    <t>Dữ liệu nguồn có &gt; 10 option</t>
  </si>
  <si>
    <t>1. Mở màn hình "Danh sách hồ sơ pháp lý"
2. Mở Dropdown Mã đầu mối
3. Cuộn danh sách</t>
  </si>
  <si>
    <t>1. Mở màn hình "Danh sách hồ sơ pháp lý"
2. Mở Dropdown Mã đầu mối
3. Click một option</t>
  </si>
  <si>
    <t>Bỏ chọn được giá trị đã chọn; dropdown trở về placeholder</t>
  </si>
  <si>
    <t>Tìm kiếm gần đúng / chính xác</t>
  </si>
  <si>
    <t>Gõ một phần: '3135'</t>
  </si>
  <si>
    <t>1. Mở màn hình "Danh sách hồ sơ pháp lý"
2. Click Mã đầu mối
3. Gõ '3135'
4. Dừng gõ 300ms</t>
  </si>
  <si>
    <t>Hiển thị các option chứa chuỗi '3135' (tìm gần đúng)</t>
  </si>
  <si>
    <t>Gõ đầy đủ: '31358001'</t>
  </si>
  <si>
    <t>1. Mở màn hình "Danh sách hồ sơ pháp lý"
2. Click Mã đầu mối
3. Gõ '31358001'</t>
  </si>
  <si>
    <t>Hiển thị đúng option '31358001'</t>
  </si>
  <si>
    <t>Không phân biệt hoa thường, có dấu / không dấu</t>
  </si>
  <si>
    <t>Gõ chữ hoa / chữ thường, có dấu / không dấu</t>
  </si>
  <si>
    <t>1. Mở màn hình "Danh sách hồ sơ pháp lý"
2. Click Mã đầu mối
3. Gõ chuỗi đổi hoa thường, bỏ dấu</t>
  </si>
  <si>
    <t>Kết quả tìm kiếm giống khi gõ đúng hoa thường, có dấu (Quy tắc component — tìm like, không phân biệt hoa thường, có dấu/không dấu)</t>
  </si>
  <si>
    <t>Không có kết quả</t>
  </si>
  <si>
    <t>Gõ 'KHONG_TON_TAI_999'</t>
  </si>
  <si>
    <t>1. Mở màn hình "Danh sách hồ sơ pháp lý"
2. Click Mã đầu mối
3. Gõ 'KHONG_TON_TAI_999'</t>
  </si>
  <si>
    <t>Hiển thị "Không tìm thấy dữ liệu" thay vì danh sách trống</t>
  </si>
  <si>
    <t>Khoảng trắng và ký tự đặc biệt</t>
  </si>
  <si>
    <t>Gõ '  31358001  ' (khoảng trắng đầu cuối)</t>
  </si>
  <si>
    <t>1. Mở màn hình "Danh sách hồ sơ pháp lý"
2. Click Mã đầu mối
3. Gõ chuỗi có khoảng trắng đầu cuối</t>
  </si>
  <si>
    <t>Hệ thống trim khoảng trắng đầu cuối, kết quả như khi gõ không có khoảng trắng</t>
  </si>
  <si>
    <t>Gõ '&lt;script&gt;alert(1)&lt;/script&gt;'</t>
  </si>
  <si>
    <t>1. Mở màn hình "Danh sách hồ sơ pháp lý"
2. Click Mã đầu mối
3. Gõ chuỗi script</t>
  </si>
  <si>
    <t>Không thực thi script; hiển thị "Không tìm thấy dữ liệu"</t>
  </si>
  <si>
    <t>Gõ "' OR '1'='1"</t>
  </si>
  <si>
    <t>1. Mở màn hình "Danh sách hồ sơ pháp lý"
2. Click Mã đầu mối
3. Gõ chuỗi SQL injection</t>
  </si>
  <si>
    <t>Không lỗi hệ thống, không trả về toàn bộ dữ liệu; hiển thị "Không tìm thấy dữ liệu"</t>
  </si>
  <si>
    <t>Kiểm tra Dropdown Mã tệp</t>
  </si>
  <si>
    <t>Hiển thị Dropdown Mã tệp</t>
  </si>
  <si>
    <t>1. Mở màn hình "Danh sách hồ sơ pháp lý"
2. Quan sát Dropdown Mã tệp</t>
  </si>
  <si>
    <t>1. Mở màn hình "Danh sách hồ sơ pháp lý"
2. Quan sát giá trị Dropdown Mã tệp</t>
  </si>
  <si>
    <t>Mặc định tệp đầu tiên trong danh sách được phân quyền = D10 (BR-013, assumption Q20)</t>
  </si>
  <si>
    <t>1. Mở màn hình "Danh sách hồ sơ pháp lý"
2. Quan sát placeholder Dropdown Mã tệp</t>
  </si>
  <si>
    <t>1. Mở màn hình "Danh sách hồ sơ pháp lý"
2. Quan sát nhãn / dấu (*) của Mã tệp</t>
  </si>
  <si>
    <t>Có dấu (*); bắt buộc chọn đúng một giá trị</t>
  </si>
  <si>
    <t>1. Mở màn hình "Danh sách hồ sơ pháp lý"
2. Click mở Dropdown Mã tệp</t>
  </si>
  <si>
    <t>Đúng 3 option: D10, D11, Q11</t>
  </si>
  <si>
    <t>1. Mở màn hình "Danh sách hồ sơ pháp lý", nhấn Tab/Shift+Tab focus vào Dropdown Mã tệp
2. Nhấn phím Enter
3. Nhấn phím Up/Down
4. Nhấn phím Enter khi đang focus một giá trị
5. Nhấn Tab/Shift+Tab</t>
  </si>
  <si>
    <t>Danh sách thực tế 3 option</t>
  </si>
  <si>
    <t>1. Mở màn hình "Danh sách hồ sơ pháp lý"
2. Mở Dropdown Mã tệp</t>
  </si>
  <si>
    <t>Danh sách theo SRS cố định 3 giá trị — giả lập danh mục trên môi trường test có 5 option</t>
  </si>
  <si>
    <t>Danh sách theo SRS cố định 3 giá trị — giả lập danh mục trên môi trường test có &gt; 10 option</t>
  </si>
  <si>
    <t>1. Mở màn hình "Danh sách hồ sơ pháp lý"
2. Mở Dropdown Mã tệp
3. Cuộn danh sách</t>
  </si>
  <si>
    <t>1. Mở màn hình "Danh sách hồ sơ pháp lý"
2. Mở Dropdown Mã tệp
3. Click một option</t>
  </si>
  <si>
    <t>1. Mở màn hình "Danh sách hồ sơ pháp lý"
2. Thử xóa giá trị của Dropdown Mã tệp</t>
  </si>
  <si>
    <t>Kiểm tra Combobox Mã CIC</t>
  </si>
  <si>
    <t>Hiển thị Combobox Mã CIC</t>
  </si>
  <si>
    <t>1. Mở màn hình "Danh sách hồ sơ pháp lý", chọn Mã đầu mối = 31358001
2. Quan sát Combobox Mã CIC</t>
  </si>
  <si>
    <t>Combobox hiển thị đúng vị trí, kích thước theo thiết kế; click toàn bộ vùng control đều mở danh sách</t>
  </si>
  <si>
    <t>Không có giá trị nào được chọn</t>
  </si>
  <si>
    <t>Placeholder khi chưa chọn</t>
  </si>
  <si>
    <t>1. Mở màn hình "Danh sách hồ sơ pháp lý", chọn Mã đầu mối = 31358001
2. Quan sát placeholder Combobox Mã CIC</t>
  </si>
  <si>
    <t>Hiển thị placeholder "Mã CIC"</t>
  </si>
  <si>
    <t>Kiểm tra trường không bắt buộc</t>
  </si>
  <si>
    <t>Tìm kiếm khi bỏ trống</t>
  </si>
  <si>
    <t>1. Mở màn hình "Danh sách hồ sơ pháp lý", chọn Mã đầu mối = 31358001
2. Chọn đủ 3 điều kiện bắt buộc
3. Bỏ trống Mã CIC
4. Click Tìm kiếm</t>
  </si>
  <si>
    <t>Tìm kiếm thành công, không lọc theo Mã CIC; không có dấu (*)</t>
  </si>
  <si>
    <t>Kiểm tra thứ tự sắp xếp giá trị</t>
  </si>
  <si>
    <t>Thứ tự option trong danh sách</t>
  </si>
  <si>
    <t>1. Mở màn hình "Danh sách hồ sơ pháp lý", chọn Mã đầu mối = 31358001
2. Mở Combobox Mã CIC</t>
  </si>
  <si>
    <t>Sắp xếp theo giá trị (A-Z)</t>
  </si>
  <si>
    <t>Kiểm tra căn lề các giá trị trong danh sách</t>
  </si>
  <si>
    <t>Căn lề option</t>
  </si>
  <si>
    <t>Các giá trị căn trái; option dài hiển thị tooltip</t>
  </si>
  <si>
    <t>Kiểm tra focus option theo ký tự gõ từ bàn phím</t>
  </si>
  <si>
    <t>Gõ ký tự đầu khi danh sách đang mở</t>
  </si>
  <si>
    <t>1. Mở màn hình "Danh sách hồ sơ pháp lý", chọn Mã đầu mối = 31358001
2. Mở Combobox Mã CIC
3. Gõ ký tự đầu của một option</t>
  </si>
  <si>
    <t>Focus vào item đầu tiên bắt đầu bằng ký tự vừa gõ</t>
  </si>
  <si>
    <t>Kiểm tra bỏ chọn bằng icon x trên tag</t>
  </si>
  <si>
    <t>Click icon × trên giá trị đã chọn</t>
  </si>
  <si>
    <t>1. Mở màn hình "Danh sách hồ sơ pháp lý", chọn Mã đầu mối = 31358001
2. Chọn 2 giá trị
3. Click icon × trên một tag</t>
  </si>
  <si>
    <t>Giá trị bị xóa khỏi danh sách đã chọn; khi chọn nhiều hiển thị dạng "item 1 + N items" (Quy tắc component)</t>
  </si>
  <si>
    <t>Chọn một option</t>
  </si>
  <si>
    <t>1. Mở màn hình "Danh sách hồ sơ pháp lý", chọn Mã đầu mối = 31358001
2. Mở Mã CIC
3. Tick một option</t>
  </si>
  <si>
    <t>Giá trị được chọn hiển thị lên combobox</t>
  </si>
  <si>
    <t>Chọn 3 option</t>
  </si>
  <si>
    <t>1. Mở màn hình "Danh sách hồ sơ pháp lý", chọn Mã đầu mối = 31358001
2. Mở Mã CIC
3. Tick 3 option</t>
  </si>
  <si>
    <t>Cho phép chọn đồng thời; hiển thị "item 1 + 2 items"</t>
  </si>
  <si>
    <t>Bỏ chọn 1 giá trị</t>
  </si>
  <si>
    <t>Bỏ tick một option đã chọn</t>
  </si>
  <si>
    <t>1. Mở màn hình "Danh sách hồ sơ pháp lý", chọn Mã đầu mối = 31358001
2. Chọn 2 option
3. Bỏ tick một option</t>
  </si>
  <si>
    <t>Option bị bỏ chọn, option còn lại giữ nguyên</t>
  </si>
  <si>
    <t>Bỏ chọn nhiều giá trị</t>
  </si>
  <si>
    <t>Bỏ tick lần lượt mọi option đã chọn</t>
  </si>
  <si>
    <t>1. Mở màn hình "Danh sách hồ sơ pháp lý", chọn Mã đầu mối = 31358001
2. Chọn 3 option
3. Bỏ tick cả 3</t>
  </si>
  <si>
    <t>Combobox trở về placeholder</t>
  </si>
  <si>
    <t>1. Mở màn hình "Danh sách hồ sơ pháp lý", chọn Mã đầu mối = 31358001
2. Mở Combobox Mã CIC
3. Cuộn danh sách</t>
  </si>
  <si>
    <t>Nội dung danh sách option</t>
  </si>
  <si>
    <t>1. Mở màn hình "Danh sách hồ sơ pháp lý", chọn Mã đầu mối = 31358001
2. Mở Mã CIC</t>
  </si>
  <si>
    <t>Chỉ gồm Mã CIC thuộc Loại khách hàng và Mã đầu mối đã chọn (BR-015)</t>
  </si>
  <si>
    <t>Gõ một phần: '2312'</t>
  </si>
  <si>
    <t>1. Mở màn hình "Danh sách hồ sơ pháp lý", chọn Mã đầu mối = 31358001
2. Click Mã CIC
3. Gõ '2312'
4. Dừng gõ 300ms</t>
  </si>
  <si>
    <t>Hiển thị các option chứa chuỗi '2312' (tìm gần đúng)</t>
  </si>
  <si>
    <t>Gõ đầy đủ: 'CIC#231289'</t>
  </si>
  <si>
    <t>1. Mở màn hình "Danh sách hồ sơ pháp lý", chọn Mã đầu mối = 31358001
2. Click Mã CIC
3. Gõ 'CIC#231289'</t>
  </si>
  <si>
    <t>Hiển thị đúng option 'CIC#231289'</t>
  </si>
  <si>
    <t>1. Mở màn hình "Danh sách hồ sơ pháp lý", chọn Mã đầu mối = 31358001
2. Click Mã CIC
3. Gõ chuỗi đổi hoa thường, bỏ dấu</t>
  </si>
  <si>
    <t>1. Mở màn hình "Danh sách hồ sơ pháp lý", chọn Mã đầu mối = 31358001
2. Click Mã CIC
3. Gõ 'KHONG_TON_TAI_999'</t>
  </si>
  <si>
    <t>Gõ '  CIC#231289  ' (khoảng trắng đầu cuối)</t>
  </si>
  <si>
    <t>1. Mở màn hình "Danh sách hồ sơ pháp lý", chọn Mã đầu mối = 31358001
2. Click Mã CIC
3. Gõ chuỗi có khoảng trắng đầu cuối</t>
  </si>
  <si>
    <t>1. Mở màn hình "Danh sách hồ sơ pháp lý", chọn Mã đầu mối = 31358001
2. Click Mã CIC
3. Gõ chuỗi script</t>
  </si>
  <si>
    <t>1. Mở màn hình "Danh sách hồ sơ pháp lý", chọn Mã đầu mối = 31358001
2. Click Mã CIC
3. Gõ chuỗi SQL injection</t>
  </si>
  <si>
    <t>Kiểm tra Combobox Tên tệp</t>
  </si>
  <si>
    <t>Hiển thị Combobox Tên tệp</t>
  </si>
  <si>
    <t>1. Mở màn hình "Danh sách hồ sơ pháp lý", bật bộ lọc Tên tệp trong Thêm bộ lọc, chọn Mã đầu mối = 31358001
2. Quan sát Combobox Tên tệp</t>
  </si>
  <si>
    <t>1. Mở màn hình "Danh sách hồ sơ pháp lý", bật bộ lọc Tên tệp trong Thêm bộ lọc, chọn Mã đầu mối = 31358001
2. Quan sát placeholder Combobox Tên tệp</t>
  </si>
  <si>
    <t>Hiển thị placeholder "Tên tệp"</t>
  </si>
  <si>
    <t>1. Mở màn hình "Danh sách hồ sơ pháp lý", bật bộ lọc Tên tệp trong Thêm bộ lọc, chọn Mã đầu mối = 31358001
2. Chọn đủ 3 điều kiện bắt buộc
3. Bỏ trống Tên tệp
4. Click Tìm kiếm</t>
  </si>
  <si>
    <t>Tìm kiếm thành công, không lọc theo Tên tệp; không có dấu (*)</t>
  </si>
  <si>
    <t>1. Mở màn hình "Danh sách hồ sơ pháp lý", bật bộ lọc Tên tệp trong Thêm bộ lọc, chọn Mã đầu mối = 31358001
2. Mở Combobox Tên tệp</t>
  </si>
  <si>
    <t>Sắp xếp theo tên tệp (A-Z)</t>
  </si>
  <si>
    <t>1. Mở màn hình "Danh sách hồ sơ pháp lý", bật bộ lọc Tên tệp trong Thêm bộ lọc, chọn Mã đầu mối = 31358001
2. Mở Combobox Tên tệp
3. Gõ ký tự đầu của một option</t>
  </si>
  <si>
    <t>1. Mở màn hình "Danh sách hồ sơ pháp lý", bật bộ lọc Tên tệp trong Thêm bộ lọc, chọn Mã đầu mối = 31358001
2. Chọn 2 giá trị
3. Click icon × trên một tag</t>
  </si>
  <si>
    <t>1. Mở màn hình "Danh sách hồ sơ pháp lý", bật bộ lọc Tên tệp trong Thêm bộ lọc, chọn Mã đầu mối = 31358001
2. Mở Tên tệp
3. Tick một option</t>
  </si>
  <si>
    <t>1. Mở màn hình "Danh sách hồ sơ pháp lý", bật bộ lọc Tên tệp trong Thêm bộ lọc, chọn Mã đầu mối = 31358001
2. Mở Tên tệp
3. Tick 3 option</t>
  </si>
  <si>
    <t>1. Mở màn hình "Danh sách hồ sơ pháp lý", bật bộ lọc Tên tệp trong Thêm bộ lọc, chọn Mã đầu mối = 31358001
2. Chọn 2 option
3. Bỏ tick một option</t>
  </si>
  <si>
    <t>1. Mở màn hình "Danh sách hồ sơ pháp lý", bật bộ lọc Tên tệp trong Thêm bộ lọc, chọn Mã đầu mối = 31358001
2. Chọn 3 option
3. Bỏ tick cả 3</t>
  </si>
  <si>
    <t>1. Mở màn hình "Danh sách hồ sơ pháp lý", bật bộ lọc Tên tệp trong Thêm bộ lọc, chọn Mã đầu mối = 31358001
2. Mở Combobox Tên tệp
3. Cuộn danh sách</t>
  </si>
  <si>
    <t>1. Mở màn hình "Danh sách hồ sơ pháp lý", bật bộ lọc Tên tệp trong Thêm bộ lọc, chọn Mã đầu mối = 31358001
2. Mở Tên tệp</t>
  </si>
  <si>
    <t>Chỉ gồm tên tệp tương ứng Mã tệp và Mã đầu mối đã chọn (assumption Q22)</t>
  </si>
  <si>
    <t>Gõ một phần: 'D11_'</t>
  </si>
  <si>
    <t>1. Mở màn hình "Danh sách hồ sơ pháp lý", bật bộ lọc Tên tệp trong Thêm bộ lọc, chọn Mã đầu mối = 31358001
2. Click Tên tệp
3. Gõ 'D11_'
4. Dừng gõ 300ms</t>
  </si>
  <si>
    <t>Hiển thị các option chứa chuỗi 'D11_' (tìm gần đúng)</t>
  </si>
  <si>
    <t>Gõ đầy đủ: 'D11_TPBANK_15092025.001.JSON'</t>
  </si>
  <si>
    <t>1. Mở màn hình "Danh sách hồ sơ pháp lý", bật bộ lọc Tên tệp trong Thêm bộ lọc, chọn Mã đầu mối = 31358001
2. Click Tên tệp
3. Gõ 'D11_TPBANK_15092025.001.JSON'</t>
  </si>
  <si>
    <t>Hiển thị đúng option 'D11_TPBANK_15092025.001.JSON'</t>
  </si>
  <si>
    <t>1. Mở màn hình "Danh sách hồ sơ pháp lý", bật bộ lọc Tên tệp trong Thêm bộ lọc, chọn Mã đầu mối = 31358001
2. Click Tên tệp
3. Gõ chuỗi đổi hoa thường, bỏ dấu</t>
  </si>
  <si>
    <t>1. Mở màn hình "Danh sách hồ sơ pháp lý", bật bộ lọc Tên tệp trong Thêm bộ lọc, chọn Mã đầu mối = 31358001
2. Click Tên tệp
3. Gõ 'KHONG_TON_TAI_999'</t>
  </si>
  <si>
    <t>Gõ '  D11_TPBANK_15092025.001.JSON  ' (khoảng trắng đầu cuối)</t>
  </si>
  <si>
    <t>1. Mở màn hình "Danh sách hồ sơ pháp lý", bật bộ lọc Tên tệp trong Thêm bộ lọc, chọn Mã đầu mối = 31358001
2. Click Tên tệp
3. Gõ chuỗi có khoảng trắng đầu cuối</t>
  </si>
  <si>
    <t>1. Mở màn hình "Danh sách hồ sơ pháp lý", bật bộ lọc Tên tệp trong Thêm bộ lọc, chọn Mã đầu mối = 31358001
2. Click Tên tệp
3. Gõ chuỗi script</t>
  </si>
  <si>
    <t>1. Mở màn hình "Danh sách hồ sơ pháp lý", bật bộ lọc Tên tệp trong Thêm bộ lọc, chọn Mã đầu mối = 31358001
2. Click Tên tệp
3. Gõ chuỗi SQL injection</t>
  </si>
  <si>
    <t>Kiểm tra Combobox Mã khách hàng</t>
  </si>
  <si>
    <t>Hiển thị Combobox Mã khách hàng</t>
  </si>
  <si>
    <t>1. Mở màn hình "Danh sách hồ sơ pháp lý", chọn Mã đầu mối = 31358001
2. Quan sát Combobox Mã khách hàng</t>
  </si>
  <si>
    <t>1. Mở màn hình "Danh sách hồ sơ pháp lý", chọn Mã đầu mối = 31358001
2. Quan sát placeholder Combobox Mã khách hàng</t>
  </si>
  <si>
    <t>Hiển thị placeholder "Mã khách hàng"</t>
  </si>
  <si>
    <t>1. Mở màn hình "Danh sách hồ sơ pháp lý", chọn Mã đầu mối = 31358001
2. Chọn đủ 3 điều kiện bắt buộc
3. Bỏ trống Mã khách hàng
4. Click Tìm kiếm</t>
  </si>
  <si>
    <t>Tìm kiếm thành công, không lọc theo Mã khách hàng; không có dấu (*)</t>
  </si>
  <si>
    <t>1. Mở màn hình "Danh sách hồ sơ pháp lý", chọn Mã đầu mối = 31358001
2. Mở Combobox Mã khách hàng</t>
  </si>
  <si>
    <t>Sắp xếp theo mã (A-Z)</t>
  </si>
  <si>
    <t>1. Mở màn hình "Danh sách hồ sơ pháp lý", chọn Mã đầu mối = 31358001
2. Mở Combobox Mã khách hàng
3. Gõ ký tự đầu của một option</t>
  </si>
  <si>
    <t>1. Mở màn hình "Danh sách hồ sơ pháp lý", chọn Mã đầu mối = 31358001
2. Mở Mã khách hàng
3. Tick một option</t>
  </si>
  <si>
    <t>1. Mở màn hình "Danh sách hồ sơ pháp lý", chọn Mã đầu mối = 31358001
2. Mở Mã khách hàng
3. Tick 3 option</t>
  </si>
  <si>
    <t>1. Mở màn hình "Danh sách hồ sơ pháp lý", chọn Mã đầu mối = 31358001
2. Mở Combobox Mã khách hàng
3. Cuộn danh sách</t>
  </si>
  <si>
    <t>1. Mở màn hình "Danh sách hồ sơ pháp lý", chọn Mã đầu mối = 31358001
2. Mở Mã khách hàng</t>
  </si>
  <si>
    <t>Chỉ gồm TTC03 thuộc Loại khách hàng và Mã đầu mối đã chọn (BR-015)</t>
  </si>
  <si>
    <t>Gõ một phần: 'CIF00001234'</t>
  </si>
  <si>
    <t>1. Mở màn hình "Danh sách hồ sơ pháp lý", chọn Mã đầu mối = 31358001
2. Click Mã khách hàng
3. Gõ 'CIF00001234'
4. Dừng gõ 300ms</t>
  </si>
  <si>
    <t>Chỉ hiển thị option khớp chính xác toàn bộ giá trị đã gõ (BR-015); gõ một phần không hiển thị option</t>
  </si>
  <si>
    <t>Gõ đầy đủ: 'CIF0000123456'</t>
  </si>
  <si>
    <t>1. Mở màn hình "Danh sách hồ sơ pháp lý", chọn Mã đầu mối = 31358001
2. Click Mã khách hàng
3. Gõ 'CIF0000123456'</t>
  </si>
  <si>
    <t>Hiển thị đúng option 'CIF0000123456'</t>
  </si>
  <si>
    <t>1. Mở màn hình "Danh sách hồ sơ pháp lý", chọn Mã đầu mối = 31358001
2. Click Mã khách hàng
3. Gõ chuỗi đổi hoa thường, bỏ dấu</t>
  </si>
  <si>
    <t>1. Mở màn hình "Danh sách hồ sơ pháp lý", chọn Mã đầu mối = 31358001
2. Click Mã khách hàng
3. Gõ 'KHONG_TON_TAI_999'</t>
  </si>
  <si>
    <t>Gõ '  CIF0000123456  ' (khoảng trắng đầu cuối)</t>
  </si>
  <si>
    <t>1. Mở màn hình "Danh sách hồ sơ pháp lý", chọn Mã đầu mối = 31358001
2. Click Mã khách hàng
3. Gõ chuỗi có khoảng trắng đầu cuối</t>
  </si>
  <si>
    <t>1. Mở màn hình "Danh sách hồ sơ pháp lý", chọn Mã đầu mối = 31358001
2. Click Mã khách hàng
3. Gõ chuỗi script</t>
  </si>
  <si>
    <t>1. Mở màn hình "Danh sách hồ sơ pháp lý", chọn Mã đầu mối = 31358001
2. Click Mã khách hàng
3. Gõ chuỗi SQL injection</t>
  </si>
  <si>
    <t>Kiểm tra Combobox Nhóm khách hàng</t>
  </si>
  <si>
    <t>Hiển thị Combobox Nhóm khách hàng</t>
  </si>
  <si>
    <t>1. Mở màn hình "Danh sách hồ sơ pháp lý"
2. Quan sát Combobox Nhóm khách hàng</t>
  </si>
  <si>
    <t>1. Mở màn hình "Danh sách hồ sơ pháp lý"
2. Quan sát placeholder Combobox Nhóm khách hàng</t>
  </si>
  <si>
    <t>Hiển thị placeholder "Nhóm khách hàng"</t>
  </si>
  <si>
    <t>1. Mở màn hình "Danh sách hồ sơ pháp lý"
2. Chọn đủ 3 điều kiện bắt buộc
3. Bỏ trống Nhóm khách hàng
4. Click Tìm kiếm</t>
  </si>
  <si>
    <t>Tìm kiếm thành công, không lọc theo Nhóm khách hàng; không có dấu (*)</t>
  </si>
  <si>
    <t>1. Mở màn hình "Danh sách hồ sơ pháp lý"
2. Mở Combobox Nhóm khách hàng</t>
  </si>
  <si>
    <t>Đúng thứ tự như SRS</t>
  </si>
  <si>
    <t>1. Mở màn hình "Danh sách hồ sơ pháp lý"
2. Mở Combobox Nhóm khách hàng
3. Gõ ký tự đầu của một option</t>
  </si>
  <si>
    <t>1. Mở màn hình "Danh sách hồ sơ pháp lý"
2. Chọn 2 giá trị
3. Click icon × trên một tag</t>
  </si>
  <si>
    <t>1. Mở màn hình "Danh sách hồ sơ pháp lý"
2. Mở Nhóm khách hàng
3. Tick một option</t>
  </si>
  <si>
    <t>1. Mở màn hình "Danh sách hồ sơ pháp lý"
2. Mở Nhóm khách hàng
3. Tick 3 option</t>
  </si>
  <si>
    <t>1. Mở màn hình "Danh sách hồ sơ pháp lý"
2. Chọn 2 option
3. Bỏ tick một option</t>
  </si>
  <si>
    <t>1. Mở màn hình "Danh sách hồ sơ pháp lý"
2. Chọn 3 option
3. Bỏ tick cả 3</t>
  </si>
  <si>
    <t>Danh sách thực tế 4 option</t>
  </si>
  <si>
    <t>Danh sách theo SRS cố định 4 giá trị — giả lập danh mục trên môi trường test có 5 option</t>
  </si>
  <si>
    <t>Danh sách theo SRS cố định 4 giá trị — giả lập danh mục trên môi trường test có &gt; 10 option</t>
  </si>
  <si>
    <t>1. Mở màn hình "Danh sách hồ sơ pháp lý"
2. Mở Combobox Nhóm khách hàng
3. Cuộn danh sách</t>
  </si>
  <si>
    <t>1. Mở màn hình "Danh sách hồ sơ pháp lý"
2. Mở Nhóm khách hàng</t>
  </si>
  <si>
    <t>Đúng 4 option: Mới - Có QHTD, Mới - Không QHTD, Thay đổi TTQT, Không thay đổi TTQT (BR-016)</t>
  </si>
  <si>
    <t>Kiểm tra Combobox Trạng thái</t>
  </si>
  <si>
    <t>Hiển thị Combobox Trạng thái</t>
  </si>
  <si>
    <t>1. Mở màn hình "Danh sách hồ sơ pháp lý"
2. Quan sát Combobox Trạng thái</t>
  </si>
  <si>
    <t>1. Mở màn hình "Danh sách hồ sơ pháp lý"
2. Quan sát placeholder Combobox Trạng thái</t>
  </si>
  <si>
    <t>Hiển thị placeholder "Trạng thái"</t>
  </si>
  <si>
    <t>1. Mở màn hình "Danh sách hồ sơ pháp lý"
2. Chọn đủ 3 điều kiện bắt buộc
3. Bỏ trống Trạng thái
4. Click Tìm kiếm</t>
  </si>
  <si>
    <t>Tìm kiếm thành công, không lọc theo Trạng thái; không có dấu (*)</t>
  </si>
  <si>
    <t>1. Mở màn hình "Danh sách hồ sơ pháp lý"
2. Mở Combobox Trạng thái</t>
  </si>
  <si>
    <t>1. Mở màn hình "Danh sách hồ sơ pháp lý"
2. Mở Combobox Trạng thái
3. Gõ ký tự đầu của một option</t>
  </si>
  <si>
    <t>1. Mở màn hình "Danh sách hồ sơ pháp lý"
2. Mở Trạng thái
3. Tick một option</t>
  </si>
  <si>
    <t>1. Mở màn hình "Danh sách hồ sơ pháp lý"
2. Mở Trạng thái
3. Tick 3 option</t>
  </si>
  <si>
    <t>1. Mở màn hình "Danh sách hồ sơ pháp lý"
2. Mở Combobox Trạng thái
3. Cuộn danh sách</t>
  </si>
  <si>
    <t>1. Mở màn hình "Danh sách hồ sơ pháp lý"
2. Mở Trạng thái</t>
  </si>
  <si>
    <t>Đúng 4 option: Chờ cấp mã, Chờ xem xét, Đã xử lý, Từ chối</t>
  </si>
  <si>
    <t>Kiểm tra Combobox Người cập nhật</t>
  </si>
  <si>
    <t>Hiển thị Combobox Người cập nhật</t>
  </si>
  <si>
    <t>1. Mở màn hình "Danh sách hồ sơ pháp lý"
2. Quan sát Combobox Người cập nhật</t>
  </si>
  <si>
    <t>1. Mở màn hình "Danh sách hồ sơ pháp lý"
2. Quan sát placeholder Combobox Người cập nhật</t>
  </si>
  <si>
    <t>Hiển thị placeholder "Người cập nhật"</t>
  </si>
  <si>
    <t>1. Mở màn hình "Danh sách hồ sơ pháp lý"
2. Chọn đủ 3 điều kiện bắt buộc
3. Bỏ trống Người cập nhật
4. Click Tìm kiếm</t>
  </si>
  <si>
    <t>Tìm kiếm thành công, không lọc theo Người cập nhật; không có dấu (*)</t>
  </si>
  <si>
    <t>1. Mở màn hình "Danh sách hồ sơ pháp lý"
2. Mở Combobox Người cập nhật</t>
  </si>
  <si>
    <t>Sắp xếp theo username (A-Z)</t>
  </si>
  <si>
    <t>1. Mở màn hình "Danh sách hồ sơ pháp lý"
2. Mở Combobox Người cập nhật
3. Gõ ký tự đầu của một option</t>
  </si>
  <si>
    <t>1. Mở màn hình "Danh sách hồ sơ pháp lý"
2. Mở Người cập nhật
3. Tick một option</t>
  </si>
  <si>
    <t>1. Mở màn hình "Danh sách hồ sơ pháp lý"
2. Mở Người cập nhật
3. Tick 3 option</t>
  </si>
  <si>
    <t>1. Mở màn hình "Danh sách hồ sơ pháp lý"
2. Mở Combobox Người cập nhật
3. Cuộn danh sách</t>
  </si>
  <si>
    <t>1. Mở màn hình "Danh sách hồ sơ pháp lý"
2. Mở Người cập nhật</t>
  </si>
  <si>
    <t>Gồm cán bộ CIC có trong hệ thống và "Hệ thống (Sys)" (assumption Q22)</t>
  </si>
  <si>
    <t>Gõ một phần: 'cbxl'</t>
  </si>
  <si>
    <t>1. Mở màn hình "Danh sách hồ sơ pháp lý"
2. Click Người cập nhật
3. Gõ 'cbxl'
4. Dừng gõ 300ms</t>
  </si>
  <si>
    <t>Hiển thị các option chứa chuỗi 'cbxl' (tìm gần đúng)</t>
  </si>
  <si>
    <t>Gõ đầy đủ: 'cbxl01'</t>
  </si>
  <si>
    <t>1. Mở màn hình "Danh sách hồ sơ pháp lý"
2. Click Người cập nhật
3. Gõ 'cbxl01'</t>
  </si>
  <si>
    <t>Hiển thị đúng option 'cbxl01'</t>
  </si>
  <si>
    <t>1. Mở màn hình "Danh sách hồ sơ pháp lý"
2. Click Người cập nhật
3. Gõ chuỗi đổi hoa thường, bỏ dấu</t>
  </si>
  <si>
    <t>1. Mở màn hình "Danh sách hồ sơ pháp lý"
2. Click Người cập nhật
3. Gõ 'KHONG_TON_TAI_999'</t>
  </si>
  <si>
    <t>Gõ '  cbxl01  ' (khoảng trắng đầu cuối)</t>
  </si>
  <si>
    <t>1. Mở màn hình "Danh sách hồ sơ pháp lý"
2. Click Người cập nhật
3. Gõ chuỗi có khoảng trắng đầu cuối</t>
  </si>
  <si>
    <t>1. Mở màn hình "Danh sách hồ sơ pháp lý"
2. Click Người cập nhật
3. Gõ chuỗi script</t>
  </si>
  <si>
    <t>1. Mở màn hình "Danh sách hồ sơ pháp lý"
2. Click Người cập nhật
3. Gõ chuỗi SQL injection</t>
  </si>
  <si>
    <t>Kiểm tra Combobox CCCD/CMND</t>
  </si>
  <si>
    <t>Hiển thị Combobox CCCD/CMND</t>
  </si>
  <si>
    <t>1. Mở màn hình "Danh sách hồ sơ pháp lý", bật bộ lọc CCCD/CMND, chọn Mã đầu mối = 31358001
2. Quan sát Combobox CCCD/CMND</t>
  </si>
  <si>
    <t>1. Mở màn hình "Danh sách hồ sơ pháp lý", bật bộ lọc CCCD/CMND, chọn Mã đầu mối = 31358001
2. Quan sát placeholder Combobox CCCD/CMND</t>
  </si>
  <si>
    <t>Hiển thị placeholder "CCCD/CMND"</t>
  </si>
  <si>
    <t>1. Mở màn hình "Danh sách hồ sơ pháp lý", bật bộ lọc CCCD/CMND, chọn Mã đầu mối = 31358001
2. Chọn đủ 3 điều kiện bắt buộc
3. Bỏ trống CCCD/CMND
4. Click Tìm kiếm</t>
  </si>
  <si>
    <t>Tìm kiếm thành công, không lọc theo CCCD/CMND; không có dấu (*)</t>
  </si>
  <si>
    <t>1. Mở màn hình "Danh sách hồ sơ pháp lý", bật bộ lọc CCCD/CMND, chọn Mã đầu mối = 31358001
2. Mở Combobox CCCD/CMND</t>
  </si>
  <si>
    <t>1. Mở màn hình "Danh sách hồ sơ pháp lý", bật bộ lọc CCCD/CMND, chọn Mã đầu mối = 31358001
2. Mở Combobox CCCD/CMND
3. Gõ ký tự đầu của một option</t>
  </si>
  <si>
    <t>1. Mở màn hình "Danh sách hồ sơ pháp lý", bật bộ lọc CCCD/CMND, chọn Mã đầu mối = 31358001
2. Chọn 2 giá trị
3. Click icon × trên một tag</t>
  </si>
  <si>
    <t>1. Mở màn hình "Danh sách hồ sơ pháp lý", bật bộ lọc CCCD/CMND, chọn Mã đầu mối = 31358001
2. Mở CCCD/CMND
3. Tick một option</t>
  </si>
  <si>
    <t>1. Mở màn hình "Danh sách hồ sơ pháp lý", bật bộ lọc CCCD/CMND, chọn Mã đầu mối = 31358001
2. Mở CCCD/CMND
3. Tick 3 option</t>
  </si>
  <si>
    <t>1. Mở màn hình "Danh sách hồ sơ pháp lý", bật bộ lọc CCCD/CMND, chọn Mã đầu mối = 31358001
2. Chọn 2 option
3. Bỏ tick một option</t>
  </si>
  <si>
    <t>1. Mở màn hình "Danh sách hồ sơ pháp lý", bật bộ lọc CCCD/CMND, chọn Mã đầu mối = 31358001
2. Chọn 3 option
3. Bỏ tick cả 3</t>
  </si>
  <si>
    <t>1. Mở màn hình "Danh sách hồ sơ pháp lý", bật bộ lọc CCCD/CMND, chọn Mã đầu mối = 31358001
2. Mở Combobox CCCD/CMND
3. Cuộn danh sách</t>
  </si>
  <si>
    <t>1. Mở màn hình "Danh sách hồ sơ pháp lý", bật bộ lọc CCCD/CMND, chọn Mã đầu mối = 31358001
2. Mở CCCD/CMND</t>
  </si>
  <si>
    <t>Loại KH = Cá nhân → giá trị CN008; Tổ chức → giá trị TC011 (BR-017, assumption Q25)</t>
  </si>
  <si>
    <t>Gõ một phần: '0603000'</t>
  </si>
  <si>
    <t>1. Mở màn hình "Danh sách hồ sơ pháp lý", bật bộ lọc CCCD/CMND, chọn Mã đầu mối = 31358001
2. Click CCCD/CMND
3. Gõ '0603000'
4. Dừng gõ 300ms</t>
  </si>
  <si>
    <t>Hiển thị các option chứa chuỗi '0603000' (tìm gần đúng)</t>
  </si>
  <si>
    <t>Gõ đầy đủ: '060300012345'</t>
  </si>
  <si>
    <t>1. Mở màn hình "Danh sách hồ sơ pháp lý", bật bộ lọc CCCD/CMND, chọn Mã đầu mối = 31358001
2. Click CCCD/CMND
3. Gõ '060300012345'</t>
  </si>
  <si>
    <t>Hiển thị đúng option '060300012345'</t>
  </si>
  <si>
    <t>1. Mở màn hình "Danh sách hồ sơ pháp lý", bật bộ lọc CCCD/CMND, chọn Mã đầu mối = 31358001
2. Click CCCD/CMND
3. Gõ chuỗi đổi hoa thường, bỏ dấu</t>
  </si>
  <si>
    <t>1. Mở màn hình "Danh sách hồ sơ pháp lý", bật bộ lọc CCCD/CMND, chọn Mã đầu mối = 31358001
2. Click CCCD/CMND
3. Gõ 'KHONG_TON_TAI_999'</t>
  </si>
  <si>
    <t>Gõ '  060300012345  ' (khoảng trắng đầu cuối)</t>
  </si>
  <si>
    <t>1. Mở màn hình "Danh sách hồ sơ pháp lý", bật bộ lọc CCCD/CMND, chọn Mã đầu mối = 31358001
2. Click CCCD/CMND
3. Gõ chuỗi có khoảng trắng đầu cuối</t>
  </si>
  <si>
    <t>1. Mở màn hình "Danh sách hồ sơ pháp lý", bật bộ lọc CCCD/CMND, chọn Mã đầu mối = 31358001
2. Click CCCD/CMND
3. Gõ chuỗi script</t>
  </si>
  <si>
    <t>1. Mở màn hình "Danh sách hồ sơ pháp lý", bật bộ lọc CCCD/CMND, chọn Mã đầu mối = 31358001
2. Click CCCD/CMND
3. Gõ chuỗi SQL injection</t>
  </si>
  <si>
    <t>Kiểm tra DatePicker Từ ngày cập nhật - Đến ngày cập nhật</t>
  </si>
  <si>
    <t>Hiển thị RangePicker Từ ngày cập nhật - Đến ngày cập nhật</t>
  </si>
  <si>
    <t>1. Mở màn hình "Danh sách hồ sơ pháp lý", chọn Loại KH = Cá nhân, Mã đầu mối = 31358001, Mã tệp = D11, click Tìm kiếm
2. Quan sát Từ ngày cập nhật - Đến ngày cập nhật</t>
  </si>
  <si>
    <t>Hiển thị 2 ô Từ ngày → Đến ngày, icon lịch; mặc định để trống, placeholder dd/mm/yyyy</t>
  </si>
  <si>
    <t>Kiểm tra focus calendar khi ô trống</t>
  </si>
  <si>
    <t>Mở calendar khi chưa có giá trị</t>
  </si>
  <si>
    <t>1. Mở màn hình "Danh sách hồ sơ pháp lý", chọn Loại KH = Cá nhân, Mã đầu mối = 31358001, Mã tệp = D11, click Tìm kiếm
2. Click ô Từ ngày của Từ ngày cập nhật - Đến ngày cập nhật</t>
  </si>
  <si>
    <t>Calendar mở, highlight ngày hiện tại hệ thống</t>
  </si>
  <si>
    <t>Kiểm tra focus calendar khi ô có giá trị</t>
  </si>
  <si>
    <t>Mở calendar khi đã có giá trị</t>
  </si>
  <si>
    <t>Từ ngày = 15/08/2025</t>
  </si>
  <si>
    <t>1. Mở màn hình "Danh sách hồ sơ pháp lý", chọn Loại KH = Cá nhân, Mã đầu mối = 31358001, Mã tệp = D11, click Tìm kiếm
2. Chọn Từ ngày 15/08/2025
3. Click lại ô Từ ngày</t>
  </si>
  <si>
    <t>Calendar highlight ngày 15/08/2025</t>
  </si>
  <si>
    <t>Kiểm tra chọn ngày từ calendar</t>
  </si>
  <si>
    <t>Chọn khoảng ngày từ calendar</t>
  </si>
  <si>
    <t>01/08/2025 → 31/08/2025</t>
  </si>
  <si>
    <t>1. Mở màn hình "Danh sách hồ sơ pháp lý", chọn Loại KH = Cá nhân, Mã đầu mối = 31358001, Mã tệp = D11, click Tìm kiếm
2. Chọn Từ ngày 01/08/2025
3. Chọn Đến ngày 31/08/2025</t>
  </si>
  <si>
    <t>Calendar đóng; hiển thị 01/08/2025 → 31/08/2025 đúng định dạng DD/MM/YYYY</t>
  </si>
  <si>
    <t>Kiểm tra icon x xóa ngày</t>
  </si>
  <si>
    <t>Click icon x trên ô ngày</t>
  </si>
  <si>
    <t>1. Mở màn hình "Danh sách hồ sơ pháp lý", chọn Loại KH = Cá nhân, Mã đầu mối = 31358001, Mã tệp = D11, click Tìm kiếm
2. Chọn khoảng ngày
3. Hover vào ô, click icon x</t>
  </si>
  <si>
    <t>Xóa giá trị cả Từ ngày và Đến ngày, ô trở về placeholder dd/mm/yyyy; icon x chỉ hiển thị khi có giá trị (quyết định user GAP-03)</t>
  </si>
  <si>
    <t>Kiểm tra định dạng của datepicker</t>
  </si>
  <si>
    <t>Định dạng hiển thị</t>
  </si>
  <si>
    <t>1. Mở màn hình "Danh sách hồ sơ pháp lý", chọn Loại KH = Cá nhân, Mã đầu mối = 31358001, Mã tệp = D11, click Tìm kiếm
2. Chọn ngày ở Từ ngày cập nhật - Đến ngày cập nhật
3. Kiểm tra định dạng</t>
  </si>
  <si>
    <t>Định dạng của datepicker: dd/mm/yyyy (theo mẫu common1)</t>
  </si>
  <si>
    <t>Kiểm tra tính bắt buộc</t>
  </si>
  <si>
    <t>Bỏ trống khoảng ngày</t>
  </si>
  <si>
    <t>1. Mở màn hình "Danh sách hồ sơ pháp lý", chọn Loại KH = Cá nhân, Mã đầu mối = 31358001, Mã tệp = D11, click Tìm kiếm
2. Bỏ trống Từ ngày cập nhật - Đến ngày cập nhật
3. Click Tìm kiếm</t>
  </si>
  <si>
    <t>Cho phép bỏ trống; tìm kiếm không lọc theo khoảng ngày này</t>
  </si>
  <si>
    <t>Kiểm tra click vào icon calendar</t>
  </si>
  <si>
    <t>Mở calendar bằng icon</t>
  </si>
  <si>
    <t>1. Mở màn hình "Danh sách hồ sơ pháp lý", chọn Loại KH = Cá nhân, Mã đầu mối = 31358001, Mã tệp = D11, click Tìm kiếm
2. Click icon Calendar bên cạnh Từ ngày cập nhật - Đến ngày cập nhật</t>
  </si>
  <si>
    <t>Hiển thị hộp Calendar, focus ngày đang được chọn (ngày hiện tại nếu chưa chọn)</t>
  </si>
  <si>
    <t>Kiểm tra copy/paste dữ liệu vào datepicker</t>
  </si>
  <si>
    <t>Dán ngày hợp lệ</t>
  </si>
  <si>
    <t>Copy '15/08/2025'</t>
  </si>
  <si>
    <t>1. Mở màn hình "Danh sách hồ sơ pháp lý", chọn Loại KH = Cá nhân, Mã đầu mối = 31358001, Mã tệp = D11, click Tìm kiếm
2. Copy '15/08/2025'
3. Ctrl+V vào ô Từ ngày
4. Blur khỏi ô</t>
  </si>
  <si>
    <t>Hệ thống cho phép copy/paste, nhận giá trị 15/08/2025</t>
  </si>
  <si>
    <t>Kiểm tra xóa dữ liệu bằng bàn phím</t>
  </si>
  <si>
    <t>1. Mở màn hình "Danh sách hồ sơ pháp lý", chọn Loại KH = Cá nhân, Mã đầu mối = 31358001, Mã tệp = D11, click Tìm kiếm
2. Chọn ngày
3. Đặt con trỏ vào ô, nhấn Backspace/Delete xóa hết
4. Blur khỏi ô</t>
  </si>
  <si>
    <t>Hệ thống cho phép xóa; ô trở về trống</t>
  </si>
  <si>
    <t>Kiểm tra nhập tay ngày hợp lệ</t>
  </si>
  <si>
    <t>Nhập tay ngày đúng định dạng</t>
  </si>
  <si>
    <t>05/09/2025</t>
  </si>
  <si>
    <t>1. Mở màn hình "Danh sách hồ sơ pháp lý", chọn Loại KH = Cá nhân, Mã đầu mối = 31358001, Mã tệp = D11, click Tìm kiếm
2. Nhập '05/09/2025' vào ô Từ ngày
3. Blur khỏi ô</t>
  </si>
  <si>
    <t>Hệ thống nhận giá trị 05/09/2025</t>
  </si>
  <si>
    <t>Kiểm tra nhập tay sai định dạng</t>
  </si>
  <si>
    <t>Nhập tay ngày sai định dạng</t>
  </si>
  <si>
    <t>2025-09-05; abc; 05/09/25</t>
  </si>
  <si>
    <t>1. Mở màn hình "Danh sách hồ sơ pháp lý", chọn Loại KH = Cá nhân, Mã đầu mối = 31358001, Mã tệp = D11, click Tìm kiếm
2. Nhập lần lượt từng giá trị
3. Blur khỏi ô</t>
  </si>
  <si>
    <t>Hiển thị lỗi ngay khi blur; không nhận giá trị (Quy tắc component)</t>
  </si>
  <si>
    <t>Kiểm tra nhập tay ngày không tồn tại</t>
  </si>
  <si>
    <t>Nhập ngày đúng định dạng nhưng không tồn tại</t>
  </si>
  <si>
    <t>31/02/2025; 32/01/2025</t>
  </si>
  <si>
    <t>1. Mở màn hình "Danh sách hồ sơ pháp lý", chọn Loại KH = Cá nhân, Mã đầu mối = 31358001, Mã tệp = D11, click Tìm kiếm
2. Nhập giá trị
3. Blur khỏi ô</t>
  </si>
  <si>
    <t>Hiển thị lỗi ngày không hợp lệ ngay khi blur</t>
  </si>
  <si>
    <t>Kiểm tra ngày 29/02 năm nhuận và cuối tháng</t>
  </si>
  <si>
    <t>Nhập ngày đặc biệt hợp lệ</t>
  </si>
  <si>
    <t>29/02/2024; 30/04/2025; 31/12/2025</t>
  </si>
  <si>
    <t>Hệ thống nhận giá trị hợp lệ</t>
  </si>
  <si>
    <t>Kiểm tra nhập ký tự không hợp lệ</t>
  </si>
  <si>
    <t>Nhập chữ, ký tự đặc biệt khác '/'</t>
  </si>
  <si>
    <t>ab/cd/efgh; 05-09-2025; @#$</t>
  </si>
  <si>
    <t>Hiển thị lỗi ngay khi blur</t>
  </si>
  <si>
    <t>Kiểm tra từ ngày lớn hơn đến ngày</t>
  </si>
  <si>
    <t>Từ ngày &gt; Đến ngày</t>
  </si>
  <si>
    <t>Từ 10/09/2025, Đến 09/09/2025</t>
  </si>
  <si>
    <t>1. Mở màn hình "Danh sách hồ sơ pháp lý", chọn Loại KH = Cá nhân, Mã đầu mối = 31358001, Mã tệp = D11, click Tìm kiếm
2. Chọn khoảng ngày
3. Click Tìm kiếm</t>
  </si>
  <si>
    <t>Hiển thị lỗi inline ERR_003 "Từ ngày phải nhỏ hơn hoặc bằng Đến ngày." tại cặp ngày cập nhật; không tìm kiếm (BR-018)</t>
  </si>
  <si>
    <t>Kiểm tra từ ngày bằng đến ngày</t>
  </si>
  <si>
    <t>Từ ngày = Đến ngày</t>
  </si>
  <si>
    <t>Từ 30/08/2025, Đến 30/08/2025</t>
  </si>
  <si>
    <t>Tìm kiếm thành công, lấy bản ghi trong ngày 30/08/2025 (cận bao gồm)</t>
  </si>
  <si>
    <t>Kiểm tra từ ngày nhỏ hơn đến ngày</t>
  </si>
  <si>
    <t>Từ ngày &lt; Đến ngày</t>
  </si>
  <si>
    <t>Từ 01/08/2025, Đến 31/08/2025</t>
  </si>
  <si>
    <t>Tìm kiếm thành công</t>
  </si>
  <si>
    <t>Kiểm tra chỉ nhập một vế</t>
  </si>
  <si>
    <t>Chỉ nhập Từ ngày hoặc chỉ nhập Đến ngày</t>
  </si>
  <si>
    <t>Chỉ Từ 01/08/2025; chỉ Đến 31/08/2025</t>
  </si>
  <si>
    <t>1. Mở màn hình "Danh sách hồ sơ pháp lý", chọn Loại KH = Cá nhân, Mã đầu mối = 31358001, Mã tệp = D11, click Tìm kiếm
2. Nhập một vế, bỏ trống vế còn lại
3. Click Tìm kiếm</t>
  </si>
  <si>
    <t>Tìm kiếm thành công: chỉ Từ → từ ngày đó trở về sau; chỉ Đến → đến hết ngày đó (assumption Q24)</t>
  </si>
  <si>
    <t>Kiểm tra DatePicker Từ ngày báo cáo - Đến ngày báo cáo</t>
  </si>
  <si>
    <t>Hiển thị RangePicker Từ ngày báo cáo - Đến ngày báo cáo</t>
  </si>
  <si>
    <t>1. Mở màn hình "Danh sách hồ sơ pháp lý", chọn Loại KH = Cá nhân, Mã đầu mối = 31358001, Mã tệp = D11, click Tìm kiếm
2. Quan sát Từ ngày báo cáo - Đến ngày báo cáo</t>
  </si>
  <si>
    <t>1. Mở màn hình "Danh sách hồ sơ pháp lý", chọn Loại KH = Cá nhân, Mã đầu mối = 31358001, Mã tệp = D11, click Tìm kiếm
2. Click ô Từ ngày của Từ ngày báo cáo - Đến ngày báo cáo</t>
  </si>
  <si>
    <t>1. Mở màn hình "Danh sách hồ sơ pháp lý", chọn Loại KH = Cá nhân, Mã đầu mối = 31358001, Mã tệp = D11, click Tìm kiếm
2. Chọn ngày ở Từ ngày báo cáo - Đến ngày báo cáo
3. Kiểm tra định dạng</t>
  </si>
  <si>
    <t>1. Mở màn hình "Danh sách hồ sơ pháp lý", chọn Loại KH = Cá nhân, Mã đầu mối = 31358001, Mã tệp = D11, click Tìm kiếm
2. Bỏ trống Từ ngày báo cáo - Đến ngày báo cáo
3. Click Tìm kiếm</t>
  </si>
  <si>
    <t>1. Mở màn hình "Danh sách hồ sơ pháp lý", chọn Loại KH = Cá nhân, Mã đầu mối = 31358001, Mã tệp = D11, click Tìm kiếm
2. Click icon Calendar bên cạnh Từ ngày báo cáo - Đến ngày báo cáo</t>
  </si>
  <si>
    <t>Hiển thị lỗi inline ERR_003 "Từ ngày phải nhỏ hơn hoặc bằng Đến ngày." tại cặp ngày báo cáo; không tìm kiếm (BR-018)</t>
  </si>
  <si>
    <t>Kiểm tra Checkbox Chọn tất cả</t>
  </si>
  <si>
    <t>Hiển thị checkbox Chọn tất cả</t>
  </si>
  <si>
    <t>1. Mở màn hình "Danh sách hồ sơ pháp lý", chọn Loại KH = Cá nhân, Mã đầu mối = 31358001, Mã tệp = D11, click Tìm kiếm
2. Quan sát checkbox Chọn tất cả</t>
  </si>
  <si>
    <t>Checkbox hiển thị đúng vị trí theo thiết kế</t>
  </si>
  <si>
    <t>Trạng thái mặc định</t>
  </si>
  <si>
    <t>Chưa chọn</t>
  </si>
  <si>
    <t>Kiểm tra check</t>
  </si>
  <si>
    <t>Tick checkbox</t>
  </si>
  <si>
    <t>1. Mở màn hình "Danh sách hồ sơ pháp lý", chọn Loại KH = Cá nhân, Mã đầu mối = 31358001, Mã tệp = D11, click Tìm kiếm
2. Tick checkbox Chọn tất cả</t>
  </si>
  <si>
    <t>Chọn mọi dòng Chờ xem xét đang hiển thị (bỏ qua dòng bị khóa); dải thao tác hiển thị "Đã chọn n hồ sơ" (BR-024, assumption Q19)</t>
  </si>
  <si>
    <t>Kiểm tra uncheck</t>
  </si>
  <si>
    <t>Bỏ tick checkbox</t>
  </si>
  <si>
    <t>1. Mở màn hình "Danh sách hồ sơ pháp lý", chọn Loại KH = Cá nhân, Mã đầu mối = 31358001, Mã tệp = D11, click Tìm kiếm
2. Tick rồi bỏ tick checkbox Chọn tất cả</t>
  </si>
  <si>
    <t>Bỏ chọn mọi dòng; dải thao tác và banner ẩn</t>
  </si>
  <si>
    <t>Kiểm tra thao tác bằng bàn phím</t>
  </si>
  <si>
    <t>Space để tick / bỏ tick</t>
  </si>
  <si>
    <t>1. Mở màn hình "Danh sách hồ sơ pháp lý", chọn Loại KH = Cá nhân, Mã đầu mối = 31358001, Mã tệp = D11, click Tìm kiếm
2. Focus checkbox Chọn tất cả bằng Tab
3. Nhấn Space</t>
  </si>
  <si>
    <t>Trạng thái checkbox đảo ngược, có viền focus rõ ràng (Quy tắc component)</t>
  </si>
  <si>
    <t>Kiểm tra trạng thái chọn một phần</t>
  </si>
  <si>
    <t>Bỏ chọn 1 dòng khi đang chọn tất cả</t>
  </si>
  <si>
    <t>1. Mở màn hình "Danh sách hồ sơ pháp lý", chọn Loại KH = Cá nhân, Mã đầu mối = 31358001, Mã tệp = D11, click Tìm kiếm
2. Tick Chọn tất cả
3. Bỏ tick 1 dòng</t>
  </si>
  <si>
    <t>Ô Chọn tất cả chuyển trạng thái chọn một phần (indeterminate) — BR-024</t>
  </si>
  <si>
    <t>Kiểm tra chọn tất cả khi trang không có hồ sơ chờ xem xét</t>
  </si>
  <si>
    <t>Trang chỉ có hồ sơ Đã xử lý/Từ chối/Chờ cấp mã</t>
  </si>
  <si>
    <t>Lọc Trạng thái = Đã xử lý</t>
  </si>
  <si>
    <t>1. Mở màn hình "Danh sách hồ sơ pháp lý", chọn Loại KH = Cá nhân, Mã đầu mối = 31358001, Mã tệp = D11, click Tìm kiếm
2. Lọc Trạng thái = Đã xử lý
3. Quan sát ô Chọn tất cả</t>
  </si>
  <si>
    <t>Ô Chọn tất cả bị khóa (assumption Q19)</t>
  </si>
  <si>
    <t>Kiểm tra Checkbox Chọn bản ghi</t>
  </si>
  <si>
    <t>Hiển thị checkbox Chọn bản ghi</t>
  </si>
  <si>
    <t>1. Mở màn hình "Danh sách hồ sơ pháp lý", chọn Loại KH = Cá nhân, Mã đầu mối = 31358001, Mã tệp = D11, click Tìm kiếm
2. Quan sát checkbox Chọn bản ghi</t>
  </si>
  <si>
    <t>Chưa chọn; chỉ bật với hồ sơ Chờ xem xét, khóa với Chờ cấp mã / Đã xử lý / Từ chối (BR-024)</t>
  </si>
  <si>
    <t>1. Mở màn hình "Danh sách hồ sơ pháp lý", chọn Loại KH = Cá nhân, Mã đầu mối = 31358001, Mã tệp = D11, click Tìm kiếm
2. Tick checkbox Chọn bản ghi</t>
  </si>
  <si>
    <t>Dòng được đánh dấu; dải thao tác hiển thị "Đã chọn 1 hồ sơ"; banner INF_009 hiển thị (BR-025, BR-026)</t>
  </si>
  <si>
    <t>1. Mở màn hình "Danh sách hồ sơ pháp lý", chọn Loại KH = Cá nhân, Mã đầu mối = 31358001, Mã tệp = D11, click Tìm kiếm
2. Tick rồi bỏ tick checkbox Chọn bản ghi</t>
  </si>
  <si>
    <t>Bỏ chọn; khi không còn hồ sơ nào được chọn, dải thao tác và banner ẩn</t>
  </si>
  <si>
    <t>1. Mở màn hình "Danh sách hồ sơ pháp lý", chọn Loại KH = Cá nhân, Mã đầu mối = 31358001, Mã tệp = D11, click Tìm kiếm
2. Focus checkbox Chọn bản ghi bằng Tab
3. Nhấn Space</t>
  </si>
  <si>
    <t>Kiểm tra ô chọn của hồ sơ không ở trạng thái chờ xem xét</t>
  </si>
  <si>
    <t>Tick hồ sơ Chờ cấp mã / Đã xử lý / Từ chối</t>
  </si>
  <si>
    <t>3 hồ sơ ở 3 trạng thái</t>
  </si>
  <si>
    <t>1. Mở màn hình "Danh sách hồ sơ pháp lý", chọn Loại KH = Cá nhân, Mã đầu mối = 31358001, Mã tệp = D11, click Tìm kiếm
2. Click ô chọn của từng hồ sơ</t>
  </si>
  <si>
    <t>Ô chọn bị khóa, không tick được (BR-024)</t>
  </si>
  <si>
    <t>Kiểm tra giữ lựa chọn khi đổi trang hoặc tìm kiếm lại</t>
  </si>
  <si>
    <t>Lựa chọn sau khi đổi trang / Tìm kiếm</t>
  </si>
  <si>
    <t>1. Mở màn hình "Danh sách hồ sơ pháp lý", chọn Loại KH = Cá nhân, Mã đầu mối = 31358001, Mã tệp = D11, click Tìm kiếm
2. Tick 2 hồ sơ
3. Sang trang 2 hoặc click Tìm kiếm</t>
  </si>
  <si>
    <t>Lựa chọn bị xóa; dải thao tác ẩn (assumption Q19)</t>
  </si>
  <si>
    <t>Kiểm tra tích chọn nhiều bản ghi</t>
  </si>
  <si>
    <t>Tích chọn &gt; 1 bản ghi</t>
  </si>
  <si>
    <t>3 hồ sơ Chờ xem xét</t>
  </si>
  <si>
    <t>1. Mở màn hình "Danh sách hồ sơ pháp lý", chọn Loại KH = Cá nhân, Mã đầu mối = 31358001, Mã tệp = D11, click Tìm kiếm
2. Tick lần lượt 3 hồ sơ Chờ xem xét</t>
  </si>
  <si>
    <t>Các hồ sơ Chờ xem xét ở trang hiện tại được tích chọn; dải hiển thị "Đã chọn 3 hồ sơ"</t>
  </si>
  <si>
    <t>Kiểm tra bỏ tích chọn nhiều bản ghi</t>
  </si>
  <si>
    <t>Bỏ tích &gt; 1 bản ghi</t>
  </si>
  <si>
    <t>Đang chọn 3 hồ sơ</t>
  </si>
  <si>
    <t>1. Mở màn hình "Danh sách hồ sơ pháp lý", chọn Loại KH = Cá nhân, Mã đầu mối = 31358001, Mã tệp = D11, click Tìm kiếm
2. Tick 3 hồ sơ
3. Bỏ tick 2 hồ sơ</t>
  </si>
  <si>
    <t>2 hồ sơ được bỏ chọn; dải hiển thị "Đã chọn 1 hồ sơ"</t>
  </si>
  <si>
    <t>Kiểm tra banner chọn cùng loại khách hàng</t>
  </si>
  <si>
    <t>Kiểm tra hiển thị banner khi chọn hồ sơ cá nhân</t>
  </si>
  <si>
    <t>Chọn hồ sơ KH cá nhân đầu tiên</t>
  </si>
  <si>
    <t>Loại KH = Cá nhân</t>
  </si>
  <si>
    <t>1. Mở màn hình "Danh sách hồ sơ pháp lý", chọn Loại KH = Cá nhân, Mã đầu mối = 31358001, Mã tệp = D11, click Tìm kiếm
2. Tick 1 hồ sơ Chờ xem xét</t>
  </si>
  <si>
    <t>Banner INF_009 "Bạn đang chọn hồ sơ khách hàng cá nhân, chỉ có thể chọn hồ sơ cùng loại cá nhân để xử lý." (BR-025)</t>
  </si>
  <si>
    <t>Kiểm tra hiển thị banner khi chọn hồ sơ tổ chức</t>
  </si>
  <si>
    <t>Chọn hồ sơ KH tổ chức đầu tiên</t>
  </si>
  <si>
    <t>Loại KH = Tổ chức</t>
  </si>
  <si>
    <t>1. Tìm kiếm Loại KH = Tổ chức
2. Tick 1 hồ sơ Chờ xem xét</t>
  </si>
  <si>
    <t>Banner INF_009 "Bạn đang chọn hồ sơ khách hàng tổ chức, chỉ có thể chọn hồ sơ cùng loại tổ chức để xử lý."</t>
  </si>
  <si>
    <t>Kiểm tra tắt banner khi bỏ chọn hết</t>
  </si>
  <si>
    <t>Bỏ chọn mọi hồ sơ</t>
  </si>
  <si>
    <t>1. Mở màn hình "Danh sách hồ sơ pháp lý", chọn Loại KH = Cá nhân, Mã đầu mối = 31358001, Mã tệp = D11, click Tìm kiếm
2. Tick 2 hồ sơ
3. Bỏ tick cả 2 (hoặc click Bỏ chọn)</t>
  </si>
  <si>
    <t>Banner INF_009 tắt (BR-025)</t>
  </si>
  <si>
    <t>Kiểm tra dải thao tác hàng loạt</t>
  </si>
  <si>
    <t>Kiểm tra ẩn dải khi chưa chọn hồ sơ</t>
  </si>
  <si>
    <t>Trạng thái mặc định của dải</t>
  </si>
  <si>
    <t>1. Mở màn hình "Danh sách hồ sơ pháp lý", chọn Loại KH = Cá nhân, Mã đầu mối = 31358001, Mã tệp = D11, click Tìm kiếm
2. Quan sát phía trên lưới</t>
  </si>
  <si>
    <t>Không hiển thị dải thao tác hàng loạt (BR-026, AC#5)</t>
  </si>
  <si>
    <t>Kiểm tra số hồ sơ đã chọn</t>
  </si>
  <si>
    <t>Nhãn "Đã chọn n hồ sơ"</t>
  </si>
  <si>
    <t>Chọn 1, 2, 5 hồ sơ</t>
  </si>
  <si>
    <t>1. Mở màn hình "Danh sách hồ sơ pháp lý", chọn Loại KH = Cá nhân, Mã đầu mối = 31358001, Mã tệp = D11, click Tìm kiếm
2. Tick lần lượt 1, 2, 5 hồ sơ</t>
  </si>
  <si>
    <t>Nhãn cập nhật đúng "Đã chọn 1 hồ sơ", "Đã chọn 2 hồ sơ", "Đã chọn 5 hồ sơ"</t>
  </si>
  <si>
    <t>Kiểm tra lưới dữ liệu và phân trang</t>
  </si>
  <si>
    <t>Kiểm tra format lưới</t>
  </si>
  <si>
    <t>Format header và giá trị</t>
  </si>
  <si>
    <t>1. Mở màn hình "Danh sách hồ sơ pháp lý", chọn Loại KH = Cá nhân, Mã đầu mối = 31358001, Mã tệp = D11, click Tìm kiếm
2. Quan sát lưới</t>
  </si>
  <si>
    <t>Header căn giữa; text căn trái, số căn phải, ngày/STT/Thao tác căn giữa; cột STT và Thao tác cố định khi cuộn ngang; chỉ có đường kẻ ngang</t>
  </si>
  <si>
    <t>Kiểm tra số thứ tự bản ghi</t>
  </si>
  <si>
    <t>STT tăng liên tục qua các trang</t>
  </si>
  <si>
    <t>&gt; 20 bản ghi</t>
  </si>
  <si>
    <t>1. Mở màn hình "Danh sách hồ sơ pháp lý", chọn Loại KH = Cá nhân, Mã đầu mối = 31358001, Mã tệp = D11, click Tìm kiếm
2. Quan sát STT trang 1
3. Sang trang 2</t>
  </si>
  <si>
    <t>STT tăng dần 1..20 ở trang 1, 21..40 ở trang 2</t>
  </si>
  <si>
    <t>Kiểm tra ẩn phân trang khi ít bản ghi</t>
  </si>
  <si>
    <t>Không hiển thị phân trang khi ≤ 10 bản ghi</t>
  </si>
  <si>
    <t>Điều kiện cho 8 kết quả</t>
  </si>
  <si>
    <t>1. Mở màn hình "Danh sách hồ sơ pháp lý", chọn Loại KH = Cá nhân, Mã đầu mối = 31358001, Mã tệp = D11, click Tìm kiếm
2. Tìm kiếm cho ra 8 kết quả</t>
  </si>
  <si>
    <t>Control phân trang ẩn</t>
  </si>
  <si>
    <t>Kiểm tra style phân trang</t>
  </si>
  <si>
    <t>Chuỗi thông tin phân trang</t>
  </si>
  <si>
    <t>987 kết quả</t>
  </si>
  <si>
    <t>1. Mở màn hình "Danh sách hồ sơ pháp lý", chọn Loại KH = Cá nhân, Mã đầu mối = 31358001, Mã tệp = D11, click Tìm kiếm
2. Quan sát vùng phân trang</t>
  </si>
  <si>
    <t>Hiển thị "Hiển thị 1 - 20 trên tổng số 987 bản ghi", số bản ghi/trang, các nút trang</t>
  </si>
  <si>
    <t>Kiểm tra header và footer ổn định khi chuyển trang</t>
  </si>
  <si>
    <t>Layout khi chuyển trang</t>
  </si>
  <si>
    <t>1. Mở màn hình "Danh sách hồ sơ pháp lý", chọn Loại KH = Cá nhân, Mã đầu mối = 31358001, Mã tệp = D11, click Tìm kiếm
2. Chuyển qua lại các trang</t>
  </si>
  <si>
    <t>Header, footer, vùng điều kiện không thay đổi vị trí</t>
  </si>
  <si>
    <t>Kiểm tra skeleton loading</t>
  </si>
  <si>
    <t>Trạng thái đang tải dữ liệu</t>
  </si>
  <si>
    <t>Giả lập mạng chậm</t>
  </si>
  <si>
    <t>1. Mở màn hình "Danh sách hồ sơ pháp lý", chọn Loại KH = Cá nhân, Mã đầu mối = 31358001, Mã tệp = D11, click Tìm kiếm
2. Click Tìm kiếm</t>
  </si>
  <si>
    <t>Hiển thị skeleton loading thay vì bảng trống trong lúc tải (Quy tắc component)</t>
  </si>
  <si>
    <t>Kiểm tra lưới trống</t>
  </si>
  <si>
    <t>Không có dữ liệu</t>
  </si>
  <si>
    <t>Điều kiện không khớp</t>
  </si>
  <si>
    <t>1. Mở màn hình "Danh sách hồ sơ pháp lý", chọn Loại KH = Cá nhân, Mã đầu mối = 31358001, Mã tệp = D11, click Tìm kiếm
2. Tìm kiếm điều kiện không khớp</t>
  </si>
  <si>
    <t>Hiển thị empty state CMP-033 kèm icon (assumption Q30)</t>
  </si>
  <si>
    <t>Kiểm tra icon mở rộng full screen</t>
  </si>
  <si>
    <t>Mở rộng lưới toàn màn hình</t>
  </si>
  <si>
    <t>1. Mở màn hình "Danh sách hồ sơ pháp lý", chọn Loại KH = Cá nhân, Mã đầu mối = 31358001, Mã tệp = D11, click Tìm kiếm
2. Click icon mở rộng
3. Click lại</t>
  </si>
  <si>
    <t>Lưới mở full screen; click lại thu về kích thước ban đầu (Quy tắc component)</t>
  </si>
  <si>
    <t>Kiểm tra cột ngày hiển thị đầy đủ khi hover</t>
  </si>
  <si>
    <t>Hover cột Ngày cập nhật</t>
  </si>
  <si>
    <t>1. Mở màn hình "Danh sách hồ sơ pháp lý", chọn Loại KH = Cá nhân, Mã đầu mối = 31358001, Mã tệp = D11, click Tìm kiếm
2. Bật cột Ngày cập nhật
3. Hover vào giá trị</t>
  </si>
  <si>
    <t>Hiển thị dd/mm/yyyy; hover hiển thị dd/mm/yyyy HH:MM:SS</t>
  </si>
  <si>
    <t>Kiểm tra cột người hiển thị họ tên khi hover</t>
  </si>
  <si>
    <t>Hover cột Người cập nhật</t>
  </si>
  <si>
    <t>1. Mở màn hình "Danh sách hồ sơ pháp lý", chọn Loại KH = Cá nhân, Mã đầu mối = 31358001, Mã tệp = D11, click Tìm kiếm
2. Bật cột Người cập nhật
3. Hover vào username</t>
  </si>
  <si>
    <t>Hiển thị username; hover hiển thị Họ và tên đầy đủ</t>
  </si>
  <si>
    <t>Kiểm tra phân trang</t>
  </si>
  <si>
    <t>Mặc định phân trang</t>
  </si>
  <si>
    <t>987 bản ghi</t>
  </si>
  <si>
    <t>1. Mở màn hình "Danh sách hồ sơ pháp lý", chọn Loại KH = Cá nhân, Mã đầu mối = 31358001, Mã tệp = D11, click Tìm kiếm
2. Quan sát phân trang</t>
  </si>
  <si>
    <t>Mặc định trang 1, 20 bản ghi/trang (BR-027)</t>
  </si>
  <si>
    <t>Chuyển đến trang cuối</t>
  </si>
  <si>
    <t>1. Mở màn hình "Danh sách hồ sơ pháp lý", chọn Loại KH = Cá nhân, Mã đầu mối = 31358001, Mã tệp = D11, click Tìm kiếm
2. Click trang cuối</t>
  </si>
  <si>
    <t>Hiển thị trang cuối; nút Next bị disable</t>
  </si>
  <si>
    <t>Về trang đầu</t>
  </si>
  <si>
    <t>1. Mở màn hình "Danh sách hồ sơ pháp lý", chọn Loại KH = Cá nhân, Mã đầu mối = 31358001, Mã tệp = D11, click Tìm kiếm
2. Đang ở trang 3, click trang 1</t>
  </si>
  <si>
    <t>Hiển thị trang 1; nút Previous bị disable</t>
  </si>
  <si>
    <t>Nút Next</t>
  </si>
  <si>
    <t>1. Mở màn hình "Danh sách hồ sơ pháp lý", chọn Loại KH = Cá nhân, Mã đầu mối = 31358001, Mã tệp = D11, click Tìm kiếm
2. Click nút &gt;</t>
  </si>
  <si>
    <t>Chuyển sang trang kế tiếp</t>
  </si>
  <si>
    <t>Nút Previous</t>
  </si>
  <si>
    <t>1. Mở màn hình "Danh sách hồ sơ pháp lý", chọn Loại KH = Cá nhân, Mã đầu mối = 31358001, Mã tệp = D11, click Tìm kiếm
2. Đang ở trang 2, click nút &lt;</t>
  </si>
  <si>
    <t>Quay về trang trước</t>
  </si>
  <si>
    <t>Kiểm tra combobox phân trang</t>
  </si>
  <si>
    <t>Giá trị mặc định</t>
  </si>
  <si>
    <t>1. Mở màn hình "Danh sách hồ sơ pháp lý", chọn Loại KH = Cá nhân, Mã đầu mối = 31358001, Mã tệp = D11, click Tìm kiếm
2. Quan sát combobox số bản ghi/trang</t>
  </si>
  <si>
    <t>Mặc định 20 / trang</t>
  </si>
  <si>
    <t>Giá trị trong combobox</t>
  </si>
  <si>
    <t>1. Mở màn hình "Danh sách hồ sơ pháp lý", chọn Loại KH = Cá nhân, Mã đầu mối = 31358001, Mã tệp = D11, click Tìm kiếm
2. Mở combobox</t>
  </si>
  <si>
    <t>Các lựa chọn theo CMP-015, giá trị lớn nhất 5000 (BR-027, assumption Q27)</t>
  </si>
  <si>
    <t>Chọn 5000</t>
  </si>
  <si>
    <t>1. Mở màn hình "Danh sách hồ sơ pháp lý", chọn Loại KH = Cá nhân, Mã đầu mối = 31358001, Mã tệp = D11, click Tìm kiếm
2. Chọn 5000 / trang</t>
  </si>
  <si>
    <t>Hiển thị tối đa 5000 bản ghi/trang, quay về trang 1, số trang tính lại đúng</t>
  </si>
  <si>
    <t>1. Mở màn hình "Danh sách hồ sơ pháp lý", chọn Loại KH = Cá nhân, Mã đầu mối = 31358001, Mã tệp = D11, click Tìm kiếm
2. Chọn 2 giá trị liên tiếp</t>
  </si>
  <si>
    <t>Không cho chọn nhiều; giữ giá trị chọn sau cùng</t>
  </si>
  <si>
    <t>Không chọn giá trị</t>
  </si>
  <si>
    <t>1. Mở màn hình "Danh sách hồ sơ pháp lý", chọn Loại KH = Cá nhân, Mã đầu mối = 31358001, Mã tệp = D11, click Tìm kiếm
2. Mở combobox rồi đóng</t>
  </si>
  <si>
    <t>Giữ giá trị hiện tại</t>
  </si>
  <si>
    <t>Phím tắt lên xuống</t>
  </si>
  <si>
    <t>1. Mở màn hình "Danh sách hồ sơ pháp lý", chọn Loại KH = Cá nhân, Mã đầu mối = 31358001, Mã tệp = D11, click Tìm kiếm
2. Focus combobox, dùng phím lên/xuống
3. Nhấn Enter</t>
  </si>
  <si>
    <t>Chọn được giá trị bằng bàn phím</t>
  </si>
  <si>
    <t>Kiểm tra nhập tìm kiếm số trang</t>
  </si>
  <si>
    <t>Nhập ký tự chữ</t>
  </si>
  <si>
    <t>'abc'</t>
  </si>
  <si>
    <t>1. Mở màn hình "Danh sách hồ sơ pháp lý", chọn Loại KH = Cá nhân, Mã đầu mối = 31358001, Mã tệp = D11, click Tìm kiếm
2. Nhập 'abc' vào ô Đến trang
3. Click icon di chuyển</t>
  </si>
  <si>
    <t>Chặn ký tự chữ</t>
  </si>
  <si>
    <t>Nhập ký tự đặc biệt</t>
  </si>
  <si>
    <t>'@#'</t>
  </si>
  <si>
    <t>1. Mở màn hình "Danh sách hồ sơ pháp lý", chọn Loại KH = Cá nhân, Mã đầu mối = 31358001, Mã tệp = D11, click Tìm kiếm
2. Nhập '@#' vào ô Đến trang</t>
  </si>
  <si>
    <t>Chặn ký tự đặc biệt</t>
  </si>
  <si>
    <t>Nhập ký tự số hợp lệ</t>
  </si>
  <si>
    <t>'3'</t>
  </si>
  <si>
    <t>1. Mở màn hình "Danh sách hồ sơ pháp lý", chọn Loại KH = Cá nhân, Mã đầu mối = 31358001, Mã tệp = D11, click Tìm kiếm
2. Nhập '3'
3. Click icon di chuyển</t>
  </si>
  <si>
    <t>Chuyển đến trang 3</t>
  </si>
  <si>
    <t>Nhập số trang vượt số trang hiện có</t>
  </si>
  <si>
    <t>Có 50 trang, nhập '60'</t>
  </si>
  <si>
    <t>1. Mở màn hình "Danh sách hồ sơ pháp lý", chọn Loại KH = Cá nhân, Mã đầu mối = 31358001, Mã tệp = D11, click Tìm kiếm
2. Nhập '60'
3. Click icon di chuyển</t>
  </si>
  <si>
    <t>Hiển thị trang cuối (trang 50) — BR-027</t>
  </si>
  <si>
    <t>Kiểm tra cột STT</t>
  </si>
  <si>
    <t>Hiển thị cột STT</t>
  </si>
  <si>
    <t>1. Mở màn hình "Danh sách hồ sơ pháp lý", chọn Loại KH = Cá nhân, Mã đầu mối = 31358001, Mã tệp = D11, click Tìm kiếm
2. Quan sát cột STT</t>
  </si>
  <si>
    <t>Số thứ tự bản ghi trong danh sách</t>
  </si>
  <si>
    <t>Kiểm tra chỉnh sửa</t>
  </si>
  <si>
    <t>Cột STT chỉ đọc</t>
  </si>
  <si>
    <t>1. Mở màn hình "Danh sách hồ sơ pháp lý", chọn Loại KH = Cá nhân, Mã đầu mối = 31358001, Mã tệp = D11, click Tìm kiếm
2. Double-click / nhấn F2 vào ô của cột STT</t>
  </si>
  <si>
    <t>Không mở edit mode, không có ô nhập; dữ liệu chỉ đọc</t>
  </si>
  <si>
    <t>Kiểm tra thao tác lọc trên cột</t>
  </si>
  <si>
    <t>Cột STT không có ô lọc</t>
  </si>
  <si>
    <t>1. Mở màn hình "Danh sách hồ sơ pháp lý", chọn Loại KH = Cá nhân, Mã đầu mối = 31358001, Mã tệp = D11, click Tìm kiếm
2. Quan sát header cột STT</t>
  </si>
  <si>
    <t>Cột STT không có icon/ô lọc (Quy tắc component: STT, Thao tác không lọc; SRS không mô tả lọc cho bảng này)</t>
  </si>
  <si>
    <t>Kiểm tra căn lề</t>
  </si>
  <si>
    <t>Căn lề cột STT</t>
  </si>
  <si>
    <t>Căn giữa</t>
  </si>
  <si>
    <t>Kiểm tra cột Ngày báo cáo</t>
  </si>
  <si>
    <t>Hiển thị cột Ngày báo cáo</t>
  </si>
  <si>
    <t>1. Mở màn hình "Danh sách hồ sơ pháp lý", chọn Loại KH = Cá nhân, Mã đầu mối = 31358001, Mã tệp = D11, click Tìm kiếm
2. Quan sát cột Ngày báo cáo</t>
  </si>
  <si>
    <t>Ngày kỳ báo cáo định dạng DD/MM/YYYY; cột bắt buộc, không ẩn được (BR-021)</t>
  </si>
  <si>
    <t>Cột Ngày báo cáo chỉ đọc</t>
  </si>
  <si>
    <t>1. Mở màn hình "Danh sách hồ sơ pháp lý", chọn Loại KH = Cá nhân, Mã đầu mối = 31358001, Mã tệp = D11, click Tìm kiếm
2. Double-click / nhấn F2 vào ô của cột Ngày báo cáo</t>
  </si>
  <si>
    <t>Lọc theo cột Ngày báo cáo</t>
  </si>
  <si>
    <t>Nhập giá trị có trên trang hiện tại</t>
  </si>
  <si>
    <t>1. Mở màn hình "Danh sách hồ sơ pháp lý", chọn Loại KH = Cá nhân, Mã đầu mối = 31358001, Mã tệp = D11, click Tìm kiếm
2. Nhập giá trị vào ô lọc cột Ngày báo cáo
3. Click icon x để xóa giá trị lọc</t>
  </si>
  <si>
    <t>Chỉ lọc các dòng trên trang đang hiển thị; click x hiển thị lại toàn bộ dòng của trang (Quy tắc component C14)</t>
  </si>
  <si>
    <t>Căn lề cột Ngày báo cáo</t>
  </si>
  <si>
    <t>Kiểm tra cột Mã tệp</t>
  </si>
  <si>
    <t>Hiển thị cột Mã tệp</t>
  </si>
  <si>
    <t>1. Mở màn hình "Danh sách hồ sơ pháp lý", chọn Loại KH = Cá nhân, Mã đầu mối = 31358001, Mã tệp = D11, click Tìm kiếm
2. Quan sát cột Mã tệp</t>
  </si>
  <si>
    <t>Mã tệp D10/D11/Q11 của hồ sơ; ẩn mặc định, hiện khi bật trong Cấu hình hiển thị</t>
  </si>
  <si>
    <t>Cột Mã tệp chỉ đọc</t>
  </si>
  <si>
    <t>1. Mở màn hình "Danh sách hồ sơ pháp lý", chọn Loại KH = Cá nhân, Mã đầu mối = 31358001, Mã tệp = D11, click Tìm kiếm
2. Double-click / nhấn F2 vào ô của cột Mã tệp</t>
  </si>
  <si>
    <t>Lọc theo cột Mã tệp</t>
  </si>
  <si>
    <t>1. Mở màn hình "Danh sách hồ sơ pháp lý", chọn Loại KH = Cá nhân, Mã đầu mối = 31358001, Mã tệp = D11, click Tìm kiếm
2. Nhập giá trị vào ô lọc cột Mã tệp
3. Click icon x để xóa giá trị lọc</t>
  </si>
  <si>
    <t>Căn lề cột Mã tệp</t>
  </si>
  <si>
    <t>Căn trái</t>
  </si>
  <si>
    <t>Kiểm tra cột Tên tệp</t>
  </si>
  <si>
    <t>Hiển thị cột Tên tệp</t>
  </si>
  <si>
    <t>1. Mở màn hình "Danh sách hồ sơ pháp lý", chọn Loại KH = Cá nhân, Mã đầu mối = 31358001, Mã tệp = D11, click Tìm kiếm
2. Quan sát cột Tên tệp</t>
  </si>
  <si>
    <t>Tên tệp báo cáo chứa hồ sơ; ẩn mặc định</t>
  </si>
  <si>
    <t>Cột Tên tệp chỉ đọc</t>
  </si>
  <si>
    <t>1. Mở màn hình "Danh sách hồ sơ pháp lý", chọn Loại KH = Cá nhân, Mã đầu mối = 31358001, Mã tệp = D11, click Tìm kiếm
2. Double-click / nhấn F2 vào ô của cột Tên tệp</t>
  </si>
  <si>
    <t>Lọc theo cột Tên tệp</t>
  </si>
  <si>
    <t>1. Mở màn hình "Danh sách hồ sơ pháp lý", chọn Loại KH = Cá nhân, Mã đầu mối = 31358001, Mã tệp = D11, click Tìm kiếm
2. Nhập giá trị vào ô lọc cột Tên tệp
3. Click icon x để xóa giá trị lọc</t>
  </si>
  <si>
    <t>Căn lề cột Tên tệp</t>
  </si>
  <si>
    <t>Kiểm tra cột Mã đầu mối</t>
  </si>
  <si>
    <t>Hiển thị cột Mã đầu mối</t>
  </si>
  <si>
    <t>1. Mở màn hình "Danh sách hồ sơ pháp lý", chọn Loại KH = Cá nhân, Mã đầu mối = 31358001, Mã tệp = D11, click Tìm kiếm
2. Quan sát cột Mã đầu mối</t>
  </si>
  <si>
    <t>Mã đầu mối TCTD/CNTCTD gửi báo cáo; cột bắt buộc</t>
  </si>
  <si>
    <t>Cột Mã đầu mối chỉ đọc</t>
  </si>
  <si>
    <t>1. Mở màn hình "Danh sách hồ sơ pháp lý", chọn Loại KH = Cá nhân, Mã đầu mối = 31358001, Mã tệp = D11, click Tìm kiếm
2. Double-click / nhấn F2 vào ô của cột Mã đầu mối</t>
  </si>
  <si>
    <t>Lọc theo cột Mã đầu mối</t>
  </si>
  <si>
    <t>1. Mở màn hình "Danh sách hồ sơ pháp lý", chọn Loại KH = Cá nhân, Mã đầu mối = 31358001, Mã tệp = D11, click Tìm kiếm
2. Nhập giá trị vào ô lọc cột Mã đầu mối
3. Click icon x để xóa giá trị lọc</t>
  </si>
  <si>
    <t>Căn lề cột Mã đầu mối</t>
  </si>
  <si>
    <t>Kiểm tra cột Mã khách hàng</t>
  </si>
  <si>
    <t>Hiển thị cột Mã khách hàng</t>
  </si>
  <si>
    <t>1. Mở màn hình "Danh sách hồ sơ pháp lý", chọn Loại KH = Cá nhân, Mã đầu mối = 31358001, Mã tệp = D11, click Tìm kiếm
2. Quan sát cột Mã khách hàng</t>
  </si>
  <si>
    <t>TTC03; cột bắt buộc</t>
  </si>
  <si>
    <t>Cột Mã khách hàng chỉ đọc</t>
  </si>
  <si>
    <t>1. Mở màn hình "Danh sách hồ sơ pháp lý", chọn Loại KH = Cá nhân, Mã đầu mối = 31358001, Mã tệp = D11, click Tìm kiếm
2. Double-click / nhấn F2 vào ô của cột Mã khách hàng</t>
  </si>
  <si>
    <t>Lọc theo cột Mã khách hàng</t>
  </si>
  <si>
    <t>1. Mở màn hình "Danh sách hồ sơ pháp lý", chọn Loại KH = Cá nhân, Mã đầu mối = 31358001, Mã tệp = D11, click Tìm kiếm
2. Nhập giá trị vào ô lọc cột Mã khách hàng
3. Click icon x để xóa giá trị lọc</t>
  </si>
  <si>
    <t>Căn lề cột Mã khách hàng</t>
  </si>
  <si>
    <t>Kiểm tra cột Tên khách hàng</t>
  </si>
  <si>
    <t>Hiển thị cột Tên khách hàng</t>
  </si>
  <si>
    <t>1. Mở màn hình "Danh sách hồ sơ pháp lý", chọn Loại KH = Cá nhân, Mã đầu mối = 31358001, Mã tệp = D11, click Tìm kiếm
2. Quan sát cột Tên khách hàng</t>
  </si>
  <si>
    <t>TTC04; tên dài xuống dòng, không tràn ô</t>
  </si>
  <si>
    <t>Cột Tên khách hàng chỉ đọc</t>
  </si>
  <si>
    <t>1. Mở màn hình "Danh sách hồ sơ pháp lý", chọn Loại KH = Cá nhân, Mã đầu mối = 31358001, Mã tệp = D11, click Tìm kiếm
2. Double-click / nhấn F2 vào ô của cột Tên khách hàng</t>
  </si>
  <si>
    <t>Lọc theo cột Tên khách hàng</t>
  </si>
  <si>
    <t>1. Mở màn hình "Danh sách hồ sơ pháp lý", chọn Loại KH = Cá nhân, Mã đầu mối = 31358001, Mã tệp = D11, click Tìm kiếm
2. Nhập giá trị vào ô lọc cột Tên khách hàng
3. Click icon x để xóa giá trị lọc</t>
  </si>
  <si>
    <t>Căn lề cột Tên khách hàng</t>
  </si>
  <si>
    <t>Kiểm tra cột CCCD/MSDN</t>
  </si>
  <si>
    <t>Hiển thị cột CCCD/MSDN</t>
  </si>
  <si>
    <t>1. Mở màn hình "Danh sách hồ sơ pháp lý", chọn Loại KH = Cá nhân, Mã đầu mối = 31358001, Mã tệp = D11, click Tìm kiếm
2. Quan sát cột CCCD/MSDN</t>
  </si>
  <si>
    <t>Tiêu đề "CCCD" (CN008) khi Loại KH = Cá nhân, "MSDN" (TC011) khi Tổ chức (BR-017, assumption Q25)</t>
  </si>
  <si>
    <t>Cột CCCD/MSDN chỉ đọc</t>
  </si>
  <si>
    <t>1. Mở màn hình "Danh sách hồ sơ pháp lý", chọn Loại KH = Cá nhân, Mã đầu mối = 31358001, Mã tệp = D11, click Tìm kiếm
2. Double-click / nhấn F2 vào ô của cột CCCD/MSDN</t>
  </si>
  <si>
    <t>Lọc theo cột CCCD/MSDN</t>
  </si>
  <si>
    <t>1. Mở màn hình "Danh sách hồ sơ pháp lý", chọn Loại KH = Cá nhân, Mã đầu mối = 31358001, Mã tệp = D11, click Tìm kiếm
2. Nhập giá trị vào ô lọc cột CCCD/MSDN
3. Click icon x để xóa giá trị lọc</t>
  </si>
  <si>
    <t>Căn lề cột CCCD/MSDN</t>
  </si>
  <si>
    <t>Kiểm tra cột Địa chỉ</t>
  </si>
  <si>
    <t>Hiển thị cột Địa chỉ</t>
  </si>
  <si>
    <t>1. Mở màn hình "Danh sách hồ sơ pháp lý", chọn Loại KH = Cá nhân, Mã đầu mối = 31358001, Mã tệp = D11, click Tìm kiếm
2. Quan sát cột Địa chỉ</t>
  </si>
  <si>
    <t>Địa chỉ của khách hàng; dài thì rút gọn "..." kèm tooltip</t>
  </si>
  <si>
    <t>Cột Địa chỉ chỉ đọc</t>
  </si>
  <si>
    <t>1. Mở màn hình "Danh sách hồ sơ pháp lý", chọn Loại KH = Cá nhân, Mã đầu mối = 31358001, Mã tệp = D11, click Tìm kiếm
2. Double-click / nhấn F2 vào ô của cột Địa chỉ</t>
  </si>
  <si>
    <t>Lọc theo cột Địa chỉ</t>
  </si>
  <si>
    <t>1. Mở màn hình "Danh sách hồ sơ pháp lý", chọn Loại KH = Cá nhân, Mã đầu mối = 31358001, Mã tệp = D11, click Tìm kiếm
2. Nhập giá trị vào ô lọc cột Địa chỉ
3. Click icon x để xóa giá trị lọc</t>
  </si>
  <si>
    <t>Căn lề cột Địa chỉ</t>
  </si>
  <si>
    <t>Kiểm tra cột Loại khách hàng</t>
  </si>
  <si>
    <t>Hiển thị cột Loại khách hàng</t>
  </si>
  <si>
    <t>1. Mở màn hình "Danh sách hồ sơ pháp lý", chọn Loại KH = Cá nhân, Mã đầu mối = 31358001, Mã tệp = D11, click Tìm kiếm
2. Quan sát cột Loại khách hàng</t>
  </si>
  <si>
    <t>Cá nhân / Tổ chức; ẩn mặc định</t>
  </si>
  <si>
    <t>Cột Loại khách hàng chỉ đọc</t>
  </si>
  <si>
    <t>1. Mở màn hình "Danh sách hồ sơ pháp lý", chọn Loại KH = Cá nhân, Mã đầu mối = 31358001, Mã tệp = D11, click Tìm kiếm
2. Double-click / nhấn F2 vào ô của cột Loại khách hàng</t>
  </si>
  <si>
    <t>Lọc theo cột Loại khách hàng</t>
  </si>
  <si>
    <t>1. Mở màn hình "Danh sách hồ sơ pháp lý", chọn Loại KH = Cá nhân, Mã đầu mối = 31358001, Mã tệp = D11, click Tìm kiếm
2. Nhập giá trị vào ô lọc cột Loại khách hàng
3. Click icon x để xóa giá trị lọc</t>
  </si>
  <si>
    <t>Căn lề cột Loại khách hàng</t>
  </si>
  <si>
    <t>Kiểm tra cột Mã CIC</t>
  </si>
  <si>
    <t>Hiển thị cột Mã CIC</t>
  </si>
  <si>
    <t>1. Mở màn hình "Danh sách hồ sơ pháp lý", chọn Loại KH = Cá nhân, Mã đầu mối = 31358001, Mã tệp = D11, click Tìm kiếm
2. Quan sát cột Mã CIC</t>
  </si>
  <si>
    <t>Mã CIC của KH; trống với hồ sơ Chờ cấp mã</t>
  </si>
  <si>
    <t>Cột Mã CIC chỉ đọc</t>
  </si>
  <si>
    <t>1. Mở màn hình "Danh sách hồ sơ pháp lý", chọn Loại KH = Cá nhân, Mã đầu mối = 31358001, Mã tệp = D11, click Tìm kiếm
2. Double-click / nhấn F2 vào ô của cột Mã CIC</t>
  </si>
  <si>
    <t>Lọc theo cột Mã CIC</t>
  </si>
  <si>
    <t>1. Mở màn hình "Danh sách hồ sơ pháp lý", chọn Loại KH = Cá nhân, Mã đầu mối = 31358001, Mã tệp = D11, click Tìm kiếm
2. Nhập giá trị vào ô lọc cột Mã CIC
3. Click icon x để xóa giá trị lọc</t>
  </si>
  <si>
    <t>Căn lề cột Mã CIC</t>
  </si>
  <si>
    <t>Kiểm tra cột Nhóm khách hàng</t>
  </si>
  <si>
    <t>Hiển thị cột Nhóm khách hàng</t>
  </si>
  <si>
    <t>1. Mở màn hình "Danh sách hồ sơ pháp lý", chọn Loại KH = Cá nhân, Mã đầu mối = 31358001, Mã tệp = D11, click Tìm kiếm
2. Quan sát cột Nhóm khách hàng</t>
  </si>
  <si>
    <t>Một trong 4 nhóm: Mới - Có QHTD, Mới - Không QHTD, Thay đổi TTQT, Không thay đổi TTQT (BR-016)</t>
  </si>
  <si>
    <t>Cột Nhóm khách hàng chỉ đọc</t>
  </si>
  <si>
    <t>1. Mở màn hình "Danh sách hồ sơ pháp lý", chọn Loại KH = Cá nhân, Mã đầu mối = 31358001, Mã tệp = D11, click Tìm kiếm
2. Double-click / nhấn F2 vào ô của cột Nhóm khách hàng</t>
  </si>
  <si>
    <t>Lọc theo cột Nhóm khách hàng</t>
  </si>
  <si>
    <t>1. Mở màn hình "Danh sách hồ sơ pháp lý", chọn Loại KH = Cá nhân, Mã đầu mối = 31358001, Mã tệp = D11, click Tìm kiếm
2. Nhập giá trị vào ô lọc cột Nhóm khách hàng
3. Click icon x để xóa giá trị lọc</t>
  </si>
  <si>
    <t>Căn lề cột Nhóm khách hàng</t>
  </si>
  <si>
    <t>Kiểm tra cột Trạng thái</t>
  </si>
  <si>
    <t>Hiển thị cột Trạng thái</t>
  </si>
  <si>
    <t>1. Mở màn hình "Danh sách hồ sơ pháp lý", chọn Loại KH = Cá nhân, Mã đầu mối = 31358001, Mã tệp = D11, click Tìm kiếm
2. Quan sát cột Trạng thái</t>
  </si>
  <si>
    <t>Badge chấm màu + chữ: Chờ cấp mã xám, Chờ xem xét cam, Đã xử lý xanh lá, Từ chối đỏ (chữ đỏ)</t>
  </si>
  <si>
    <t>Cột Trạng thái chỉ đọc</t>
  </si>
  <si>
    <t>1. Mở màn hình "Danh sách hồ sơ pháp lý", chọn Loại KH = Cá nhân, Mã đầu mối = 31358001, Mã tệp = D11, click Tìm kiếm
2. Double-click / nhấn F2 vào ô của cột Trạng thái</t>
  </si>
  <si>
    <t>Lọc theo cột Trạng thái</t>
  </si>
  <si>
    <t>1. Mở màn hình "Danh sách hồ sơ pháp lý", chọn Loại KH = Cá nhân, Mã đầu mối = 31358001, Mã tệp = D11, click Tìm kiếm
2. Nhập giá trị vào ô lọc cột Trạng thái
3. Click icon x để xóa giá trị lọc</t>
  </si>
  <si>
    <t>Căn lề cột Trạng thái</t>
  </si>
  <si>
    <t>Kiểm tra cột Ngày cập nhật</t>
  </si>
  <si>
    <t>Hiển thị cột Ngày cập nhật</t>
  </si>
  <si>
    <t>1. Mở màn hình "Danh sách hồ sơ pháp lý", chọn Loại KH = Cá nhân, Mã đầu mối = 31358001, Mã tệp = D11, click Tìm kiếm
2. Quan sát cột Ngày cập nhật</t>
  </si>
  <si>
    <t>Thời điểm cập nhật hồ sơ (dd/mm/yyyy, hover đầy đủ giờ); ẩn mặc định</t>
  </si>
  <si>
    <t>Cột Ngày cập nhật chỉ đọc</t>
  </si>
  <si>
    <t>1. Mở màn hình "Danh sách hồ sơ pháp lý", chọn Loại KH = Cá nhân, Mã đầu mối = 31358001, Mã tệp = D11, click Tìm kiếm
2. Double-click / nhấn F2 vào ô của cột Ngày cập nhật</t>
  </si>
  <si>
    <t>Lọc theo cột Ngày cập nhật</t>
  </si>
  <si>
    <t>1. Mở màn hình "Danh sách hồ sơ pháp lý", chọn Loại KH = Cá nhân, Mã đầu mối = 31358001, Mã tệp = D11, click Tìm kiếm
2. Nhập giá trị vào ô lọc cột Ngày cập nhật
3. Click icon x để xóa giá trị lọc</t>
  </si>
  <si>
    <t>Căn lề cột Ngày cập nhật</t>
  </si>
  <si>
    <t>Kiểm tra cột Người cập nhật</t>
  </si>
  <si>
    <t>Hiển thị cột Người cập nhật</t>
  </si>
  <si>
    <t>1. Mở màn hình "Danh sách hồ sơ pháp lý", chọn Loại KH = Cá nhân, Mã đầu mối = 31358001, Mã tệp = D11, click Tìm kiếm
2. Quan sát cột Người cập nhật</t>
  </si>
  <si>
    <t>Username tài khoản cập nhật hoặc "Sys"; hover hiển thị họ tên; ẩn mặc định</t>
  </si>
  <si>
    <t>Cột Người cập nhật chỉ đọc</t>
  </si>
  <si>
    <t>1. Mở màn hình "Danh sách hồ sơ pháp lý", chọn Loại KH = Cá nhân, Mã đầu mối = 31358001, Mã tệp = D11, click Tìm kiếm
2. Double-click / nhấn F2 vào ô của cột Người cập nhật</t>
  </si>
  <si>
    <t>Lọc theo cột Người cập nhật</t>
  </si>
  <si>
    <t>1. Mở màn hình "Danh sách hồ sơ pháp lý", chọn Loại KH = Cá nhân, Mã đầu mối = 31358001, Mã tệp = D11, click Tìm kiếm
2. Nhập giá trị vào ô lọc cột Người cập nhật
3. Click icon x để xóa giá trị lọc</t>
  </si>
  <si>
    <t>Căn lề cột Người cập nhật</t>
  </si>
  <si>
    <t>Kiểm tra cột Thao tác</t>
  </si>
  <si>
    <t>Kiểm tra hiển thị nút ... tại cột Thao tác</t>
  </si>
  <si>
    <t>1. Mở màn hình "Danh sách hồ sơ pháp lý", chọn Loại KH = Cá nhân, Mã đầu mối = 31358001, Mã tệp = D11, click Tìm kiếm
2. Kiểm tra hiển thị cột Thao tác</t>
  </si>
  <si>
    <t>Mỗi dòng hiển thị nút "..." mở menu thao tác gồm: Xem, Xử lý hồ sơ (chỉ hồ sơ Chờ xem xét); cột cố định khi cuộn ngang (BR-023)</t>
  </si>
  <si>
    <t>Kiểm tra trạng thái</t>
  </si>
  <si>
    <t>Kiểm tra trạng thái nút ...</t>
  </si>
  <si>
    <t>1. Mở màn hình "Danh sách hồ sơ pháp lý", chọn Loại KH = Cá nhân, Mã đầu mối = 31358001, Mã tệp = D11, click Tìm kiếm
2. Kiểm tra trạng thái nút ... ở các dòng</t>
  </si>
  <si>
    <t>Trạng thái: Enable ở mọi dòng</t>
  </si>
  <si>
    <t>Kiểm tra khi onclick</t>
  </si>
  <si>
    <t>Kiểm tra click nút ...</t>
  </si>
  <si>
    <t>1. Mở màn hình "Danh sách hồ sơ pháp lý", chọn Loại KH = Cá nhân, Mã đầu mối = 31358001, Mã tệp = D11, click Tìm kiếm
2. Click nút ... của một dòng</t>
  </si>
  <si>
    <t>Mở menu thao tác của dòng đó: Xem; Xử lý hồ sơ (nếu Chờ xem xét); click ra ngoài thì menu đóng</t>
  </si>
  <si>
    <t>Kiểm tra thao tác Xem</t>
  </si>
  <si>
    <t>Kiểm tra hiển thị thao tác</t>
  </si>
  <si>
    <t>Hiển thị mục Xem trong menu Thao tác</t>
  </si>
  <si>
    <t>1. Mở màn hình "Danh sách hồ sơ pháp lý", chọn Loại KH = Cá nhân, Mã đầu mối = 31358001, Mã tệp = D11, click Tìm kiếm
2. Click icon ... tại cột Thao tác</t>
  </si>
  <si>
    <t>Mục "Xem" hiển thị trong menu Thao tác của mọi dòng</t>
  </si>
  <si>
    <t>Kiểm tra trạng thái thao tác</t>
  </si>
  <si>
    <t>Mục Xem theo trạng thái hồ sơ</t>
  </si>
  <si>
    <t>Hồ sơ ở 4 trạng thái</t>
  </si>
  <si>
    <t>1. Mở màn hình "Danh sách hồ sơ pháp lý", chọn Loại KH = Cá nhân, Mã đầu mối = 31358001, Mã tệp = D11, click Tìm kiếm
2. Mở menu Thao tác lần lượt từng dòng</t>
  </si>
  <si>
    <t>Hiển thị ở cả 4 trạng thái Chờ cấp mã, Chờ xem xét, Đã xử lý, Từ chối (BR-023)</t>
  </si>
  <si>
    <t>Kiểm tra click thao tác</t>
  </si>
  <si>
    <t>Click mục Xem</t>
  </si>
  <si>
    <t>1. Mở màn hình "Danh sách hồ sơ pháp lý", chọn Loại KH = Cá nhân, Mã đầu mối = 31358001, Mã tệp = D11, click Tìm kiếm
2. Click Xem</t>
  </si>
  <si>
    <t>Hồ sơ D10/D11 → mở popup "Xem chi tiết hồ sơ pháp lý tệp D10/D11"; hồ sơ Q11 → mở popup "Xem chi tiết hồ sơ pháp lý tệp Q11"</t>
  </si>
  <si>
    <t>Kiểm tra thao tác Xử lý hồ sơ</t>
  </si>
  <si>
    <t>Hiển thị mục Xử lý hồ sơ trong menu Thao tác</t>
  </si>
  <si>
    <t>Mục "Xử lý hồ sơ" hiển thị trong menu Thao tác của hồ sơ Chờ xem xét</t>
  </si>
  <si>
    <t>Mục Xử lý hồ sơ theo trạng thái hồ sơ</t>
  </si>
  <si>
    <t>Chỉ hiển thị khi hồ sơ Chờ xem xét; ẩn với Chờ cấp mã, Đã xử lý, Từ chối (BR-023, AC#3)</t>
  </si>
  <si>
    <t>Click mục Xử lý hồ sơ</t>
  </si>
  <si>
    <t>1. Mở màn hình "Danh sách hồ sơ pháp lý", chọn Loại KH = Cá nhân, Mã đầu mối = 31358001, Mã tệp = D11, click Tìm kiếm
2. Click Xử lý hồ sơ</t>
  </si>
  <si>
    <t>Hồ sơ D10/D11 → mở popup "Xử lý hồ sơ pháp lý tệp D10/D11"; hồ sơ Q11 → mở popup "Xử lý hồ sơ pháp lý tệp Q11"</t>
  </si>
  <si>
    <t>Kiểm tra badge trạng thái</t>
  </si>
  <si>
    <t>Kiểm tra vị trí và màu sắc badge</t>
  </si>
  <si>
    <t>Màu và nhãn theo trạng thái</t>
  </si>
  <si>
    <t>4 hồ sơ ở 4 trạng thái</t>
  </si>
  <si>
    <t>Chờ cấp mã: chấm xám; Chờ xem xét: chấm cam; Đã xử lý: chấm xanh lá; Từ chối: chấm đỏ, chữ đỏ</t>
  </si>
  <si>
    <t>Kiểm tra tính chỉ đọc của badge</t>
  </si>
  <si>
    <t>Click vào badge</t>
  </si>
  <si>
    <t>1. Mở màn hình "Danh sách hồ sơ pháp lý", chọn Loại KH = Cá nhân, Mã đầu mối = 31358001, Mã tệp = D11, click Tìm kiếm
2. Click badge trạng thái</t>
  </si>
  <si>
    <t>Không đổi trạng thái, không mở thao tác nào</t>
  </si>
  <si>
    <t>Chức năng (Phần này viết các trường hợp kiểm thử kiểm tra các ràng buộc trong cơ sở dữ liệu và cho các luồng nghiệp vụ trong tài liệu giải pháp, tích hợp với các chức năng khác)</t>
  </si>
  <si>
    <t>Kiểm tra tìm kiếm thành công có dữ liệu</t>
  </si>
  <si>
    <t>Kiểm tra tìm kiếm theo chỉ ba điều kiện bắt buộc</t>
  </si>
  <si>
    <t>Tìm kiếm theo chỉ ba điều kiện bắt buộc — có dữ liệu</t>
  </si>
  <si>
    <t>Loại KH = Cá nhân, Mã đầu mối = 31358001, Mã tệp = D11</t>
  </si>
  <si>
    <t>1. Mở màn hình "Danh sách hồ sơ pháp lý"
2. Chọn điều kiện: Loại KH = Cá nhân, Mã đầu mối = 31358001, Mã tệp = D11
3. Click Tìm kiếm</t>
  </si>
  <si>
    <t>Danh sách chỉ gồm hồ sơ thỏa điều kiện, sắp theo Ngày cập nhật mới nhất trên cùng, 20 bản ghi/trang; phân trang hiển thị đúng tổng số bản ghi (BR-002, BR-020, BR-027)
SQL đối soát (mẫu):
SELECT * FROM &lt;HO_SO_PHAP_LY&gt; WHERE LOAI_DU_LIEU = 'Pháp lý' AND TRANG_THAI_DU_LIEU = 'Hợp lệ' AND MA_TEP IN ('D10','D11','Q11') AND LOAI_KH = 'Cá nhân' AND MA_DAU_MOI = '31358001' AND MA_TEP = 'D11' ORDER BY NGAY_CAP_NHAT DESC;</t>
  </si>
  <si>
    <t>Kiểm tra tìm kiếm theo loại khách hàng tổ chức</t>
  </si>
  <si>
    <t>Tìm kiếm theo loại khách hàng tổ chức — có dữ liệu</t>
  </si>
  <si>
    <t>Loại KH = Tổ chức, 31358001, D11</t>
  </si>
  <si>
    <t>1. Mở màn hình "Danh sách hồ sơ pháp lý"
2. Chọn điều kiện: Loại KH = Tổ chức, 31358001, D11
3. Click Tìm kiếm</t>
  </si>
  <si>
    <t>Danh sách chỉ gồm hồ sơ thỏa điều kiện, sắp theo Ngày cập nhật mới nhất trên cùng, 20 bản ghi/trang; phân trang hiển thị đúng tổng số bản ghi (BR-002, BR-020, BR-027)
SQL đối soát (mẫu):
SELECT * FROM &lt;HO_SO_PHAP_LY&gt; WHERE LOAI_DU_LIEU = 'Pháp lý' AND TRANG_THAI_DU_LIEU = 'Hợp lệ' AND MA_TEP IN ('D10','D11','Q11') AND LOAI_KH = 'Tổ chức' AND MA_DAU_MOI = '31358001' AND MA_TEP = 'D11' ORDER BY NGAY_CAP_NHAT DESC;</t>
  </si>
  <si>
    <t>Kiểm tra tìm kiếm theo mã tệp Q11</t>
  </si>
  <si>
    <t>Tìm kiếm theo mã tệp Q11 — có dữ liệu</t>
  </si>
  <si>
    <t>Cá nhân, 31358001, Q11</t>
  </si>
  <si>
    <t>1. Mở màn hình "Danh sách hồ sơ pháp lý"
2. Chọn điều kiện: Cá nhân, 31358001, Q11
3. Click Tìm kiếm</t>
  </si>
  <si>
    <t>Danh sách chỉ gồm hồ sơ thỏa điều kiện, sắp theo Ngày cập nhật mới nhất trên cùng, 20 bản ghi/trang; phân trang hiển thị đúng tổng số bản ghi (BR-002, BR-020, BR-027)
SQL đối soát (mẫu):
SELECT * FROM &lt;HO_SO_PHAP_LY&gt; WHERE LOAI_DU_LIEU = 'Pháp lý' AND TRANG_THAI_DU_LIEU = 'Hợp lệ' AND MA_TEP IN ('D10','D11','Q11') AND LOAI_KH = 'Cá nhân' AND MA_DAU_MOI = '31358001' AND MA_TEP = 'Q11' ORDER BY NGAY_CAP_NHAT DESC;</t>
  </si>
  <si>
    <t>Kiểm tra tìm kiếm theo mã CIC</t>
  </si>
  <si>
    <t>Tìm kiếm theo mã CIC — có dữ liệu</t>
  </si>
  <si>
    <t>+ Mã CIC = CIC#231289</t>
  </si>
  <si>
    <t>1. Mở màn hình "Danh sách hồ sơ pháp lý"
2. Chọn điều kiện: + Mã CIC = CIC#231289
3. Click Tìm kiếm</t>
  </si>
  <si>
    <t>Danh sách chỉ gồm hồ sơ thỏa điều kiện, sắp theo Ngày cập nhật mới nhất trên cùng, 20 bản ghi/trang; phân trang hiển thị đúng tổng số bản ghi (BR-002, BR-020, BR-027)
SQL đối soát (mẫu):
SELECT * FROM &lt;HO_SO_PHAP_LY&gt; WHERE LOAI_DU_LIEU = 'Pháp lý' AND TRANG_THAI_DU_LIEU = 'Hợp lệ' AND MA_TEP IN ('D10','D11','Q11') AND LOAI_KH = 'Cá nhân' AND MA_DAU_MOI = '31358001' AND MA_TEP = 'D11' AND MA_CIC IN ('CIC#231289') ORDER BY NGAY_CAP_NHAT DESC;</t>
  </si>
  <si>
    <t>Kiểm tra tìm kiếm theo mã khách hàng khớp chính xác</t>
  </si>
  <si>
    <t>Tìm kiếm theo mã khách hàng khớp chính xác — có dữ liệu</t>
  </si>
  <si>
    <t>+ Mã KH = CIF0000123456, CIF0000123457</t>
  </si>
  <si>
    <t>1. Mở màn hình "Danh sách hồ sơ pháp lý"
2. Chọn điều kiện: + Mã KH = CIF0000123456, CIF0000123457
3. Click Tìm kiếm</t>
  </si>
  <si>
    <t>Danh sách chỉ gồm hồ sơ thỏa điều kiện, sắp theo Ngày cập nhật mới nhất trên cùng, 20 bản ghi/trang; phân trang hiển thị đúng tổng số bản ghi (BR-002, BR-020, BR-027)
SQL đối soát (mẫu):
SELECT * FROM &lt;HO_SO_PHAP_LY&gt; WHERE LOAI_DU_LIEU = 'Pháp lý' AND TRANG_THAI_DU_LIEU = 'Hợp lệ' AND MA_TEP IN ('D10','D11','Q11') AND LOAI_KH = 'Cá nhân' AND MA_DAU_MOI = '31358001' AND MA_TEP = 'D11' AND MA_KH IN ('CIF0000123456','CIF0000123457') ORDER BY NGAY_CAP_NHAT DESC;</t>
  </si>
  <si>
    <t>Kiểm tra tìm kiếm theo nhóm khách hàng thay đổi thông tin quan trọng</t>
  </si>
  <si>
    <t>Tìm kiếm theo nhóm khách hàng thay đổi thông tin quan trọng — có dữ liệu</t>
  </si>
  <si>
    <t>+ Nhóm KH = Thay đổi TTQT (UC-0547)</t>
  </si>
  <si>
    <t>1. Mở màn hình "Danh sách hồ sơ pháp lý"
2. Chọn điều kiện: + Nhóm KH = Thay đổi TTQT (UC-0547)
3. Click Tìm kiếm</t>
  </si>
  <si>
    <t>Danh sách chỉ gồm hồ sơ thỏa điều kiện, sắp theo Ngày cập nhật mới nhất trên cùng, 20 bản ghi/trang; phân trang hiển thị đúng tổng số bản ghi (BR-002, BR-020, BR-027)
SQL đối soát (mẫu):
SELECT * FROM &lt;HO_SO_PHAP_LY&gt; WHERE LOAI_DU_LIEU = 'Pháp lý' AND TRANG_THAI_DU_LIEU = 'Hợp lệ' AND MA_TEP IN ('D10','D11','Q11') AND LOAI_KH = 'Cá nhân' AND MA_DAU_MOI = '31358001' AND MA_TEP = 'D11' AND NHOM_KH IN ('Thay đổi TTQT') ORDER BY NGAY_CAP_NHAT DESC;</t>
  </si>
  <si>
    <t>Kiểm tra tìm kiếm theo nhóm khách hàng mới không quan hệ tín dụng</t>
  </si>
  <si>
    <t>Tìm kiếm theo nhóm khách hàng mới không quan hệ tín dụng — có dữ liệu</t>
  </si>
  <si>
    <t>+ Nhóm KH = Mới - Không QHTD (UC-0541)</t>
  </si>
  <si>
    <t>1. Mở màn hình "Danh sách hồ sơ pháp lý"
2. Chọn điều kiện: + Nhóm KH = Mới - Không QHTD (UC-0541)
3. Click Tìm kiếm</t>
  </si>
  <si>
    <t>Danh sách chỉ gồm hồ sơ thỏa điều kiện, sắp theo Ngày cập nhật mới nhất trên cùng, 20 bản ghi/trang; phân trang hiển thị đúng tổng số bản ghi (BR-002, BR-020, BR-027)
SQL đối soát (mẫu):
SELECT * FROM &lt;HO_SO_PHAP_LY&gt; WHERE LOAI_DU_LIEU = 'Pháp lý' AND TRANG_THAI_DU_LIEU = 'Hợp lệ' AND MA_TEP IN ('D10','D11','Q11') AND LOAI_KH = 'Cá nhân' AND MA_DAU_MOI = '31358001' AND MA_TEP = 'D11' AND NHOM_KH IN ('Mới - Không QHTD') ORDER BY NGAY_CAP_NHAT DESC;</t>
  </si>
  <si>
    <t>Kiểm tra tìm kiếm theo trạng thái</t>
  </si>
  <si>
    <t>Tìm kiếm theo trạng thái — có dữ liệu</t>
  </si>
  <si>
    <t>+ Trạng thái = Chờ xem xét, Từ chối</t>
  </si>
  <si>
    <t>1. Mở màn hình "Danh sách hồ sơ pháp lý"
2. Chọn điều kiện: + Trạng thái = Chờ xem xét, Từ chối
3. Click Tìm kiếm</t>
  </si>
  <si>
    <t>Danh sách chỉ gồm hồ sơ thỏa điều kiện, sắp theo Ngày cập nhật mới nhất trên cùng, 20 bản ghi/trang; phân trang hiển thị đúng tổng số bản ghi (BR-002, BR-020, BR-027)
SQL đối soát (mẫu):
SELECT * FROM &lt;HO_SO_PHAP_LY&gt; WHERE LOAI_DU_LIEU = 'Pháp lý' AND TRANG_THAI_DU_LIEU = 'Hợp lệ' AND MA_TEP IN ('D10','D11','Q11') AND LOAI_KH = 'Cá nhân' AND MA_DAU_MOI = '31358001' AND MA_TEP = 'D11' AND TRANG_THAI IN ('Chờ xem xét','Từ chối') ORDER BY NGAY_CAP_NHAT DESC;</t>
  </si>
  <si>
    <t>Kiểm tra tìm kiếm theo người cập nhật</t>
  </si>
  <si>
    <t>Tìm kiếm theo người cập nhật — có dữ liệu</t>
  </si>
  <si>
    <t>+ Người cập nhật = Sys</t>
  </si>
  <si>
    <t>1. Mở màn hình "Danh sách hồ sơ pháp lý"
2. Chọn điều kiện: + Người cập nhật = Sys
3. Click Tìm kiếm</t>
  </si>
  <si>
    <t>Danh sách chỉ gồm hồ sơ thỏa điều kiện, sắp theo Ngày cập nhật mới nhất trên cùng, 20 bản ghi/trang; phân trang hiển thị đúng tổng số bản ghi (BR-002, BR-020, BR-027)
SQL đối soát (mẫu):
SELECT * FROM &lt;HO_SO_PHAP_LY&gt; WHERE LOAI_DU_LIEU = 'Pháp lý' AND TRANG_THAI_DU_LIEU = 'Hợp lệ' AND MA_TEP IN ('D10','D11','Q11') AND LOAI_KH = 'Cá nhân' AND MA_DAU_MOI = '31358001' AND MA_TEP = 'D11' AND NGUOI_CAP_NHAT IN ('Sys') ORDER BY NGAY_CAP_NHAT DESC;</t>
  </si>
  <si>
    <t>Kiểm tra tìm kiếm theo tên tệp</t>
  </si>
  <si>
    <t>Tìm kiếm theo tên tệp — có dữ liệu</t>
  </si>
  <si>
    <t>+ Tên tệp = D11_TPBANK_15092025.001.JSON</t>
  </si>
  <si>
    <t>1. Mở màn hình "Danh sách hồ sơ pháp lý"
2. Chọn điều kiện: + Tên tệp = D11_TPBANK_15092025.001.JSON
3. Click Tìm kiếm</t>
  </si>
  <si>
    <t>Danh sách chỉ gồm hồ sơ thỏa điều kiện, sắp theo Ngày cập nhật mới nhất trên cùng, 20 bản ghi/trang; phân trang hiển thị đúng tổng số bản ghi (BR-002, BR-020, BR-027)
SQL đối soát (mẫu):
SELECT * FROM &lt;HO_SO_PHAP_LY&gt; WHERE LOAI_DU_LIEU = 'Pháp lý' AND TRANG_THAI_DU_LIEU = 'Hợp lệ' AND MA_TEP IN ('D10','D11','Q11') AND LOAI_KH = 'Cá nhân' AND MA_DAU_MOI = '31358001' AND MA_TEP = 'D11' AND TEN_TEP IN ('D11_TPBANK_15092025.001.JSON') ORDER BY NGAY_CAP_NHAT DESC;</t>
  </si>
  <si>
    <t>Kiểm tra tìm kiếm theo CCCD/CMND</t>
  </si>
  <si>
    <t>Tìm kiếm theo CCCD/CMND — có dữ liệu</t>
  </si>
  <si>
    <t>+ CCCD/CMND = 060300012345</t>
  </si>
  <si>
    <t>1. Mở màn hình "Danh sách hồ sơ pháp lý"
2. Chọn điều kiện: + CCCD/CMND = 060300012345
3. Click Tìm kiếm</t>
  </si>
  <si>
    <t>Danh sách chỉ gồm hồ sơ thỏa điều kiện, sắp theo Ngày cập nhật mới nhất trên cùng, 20 bản ghi/trang; phân trang hiển thị đúng tổng số bản ghi (BR-002, BR-020, BR-027)
SQL đối soát (mẫu):
SELECT * FROM &lt;HO_SO_PHAP_LY&gt; WHERE LOAI_DU_LIEU = 'Pháp lý' AND TRANG_THAI_DU_LIEU = 'Hợp lệ' AND MA_TEP IN ('D10','D11','Q11') AND LOAI_KH = 'Cá nhân' AND MA_DAU_MOI = '31358001' AND MA_TEP = 'D11' AND CN008 IN ('060300012345') ORDER BY NGAY_CAP_NHAT DESC;</t>
  </si>
  <si>
    <t>Kiểm tra tìm kiếm theo khoảng ngày cập nhật</t>
  </si>
  <si>
    <t>Tìm kiếm theo khoảng ngày cập nhật — có dữ liệu</t>
  </si>
  <si>
    <t>+ Ngày cập nhật 01/09/2025 → 30/09/2025</t>
  </si>
  <si>
    <t>1. Mở màn hình "Danh sách hồ sơ pháp lý"
2. Chọn điều kiện: + Ngày cập nhật 01/09/2025 → 30/09/2025
3. Click Tìm kiếm</t>
  </si>
  <si>
    <t>Danh sách chỉ gồm hồ sơ thỏa điều kiện, sắp theo Ngày cập nhật mới nhất trên cùng, 20 bản ghi/trang; phân trang hiển thị đúng tổng số bản ghi (BR-002, BR-020, BR-027)
SQL đối soát (mẫu):
SELECT * FROM &lt;HO_SO_PHAP_LY&gt; WHERE LOAI_DU_LIEU = 'Pháp lý' AND TRANG_THAI_DU_LIEU = 'Hợp lệ' AND MA_TEP IN ('D10','D11','Q11') AND LOAI_KH = 'Cá nhân' AND MA_DAU_MOI = '31358001' AND MA_TEP = 'D11' AND TRUNC(NGAY_CAP_NHAT) BETWEEN '01/09/2025' AND '30/09/2025' ORDER BY NGAY_CAP_NHAT DESC;</t>
  </si>
  <si>
    <t>Kiểm tra tìm kiếm theo khoảng ngày báo cáo</t>
  </si>
  <si>
    <t>Tìm kiếm theo khoảng ngày báo cáo — có dữ liệu</t>
  </si>
  <si>
    <t>+ Ngày báo cáo 30/08/2025 → 30/08/2025</t>
  </si>
  <si>
    <t>1. Mở màn hình "Danh sách hồ sơ pháp lý"
2. Chọn điều kiện: + Ngày báo cáo 30/08/2025 → 30/08/2025
3. Click Tìm kiếm</t>
  </si>
  <si>
    <t>Danh sách chỉ gồm hồ sơ thỏa điều kiện, sắp theo Ngày cập nhật mới nhất trên cùng, 20 bản ghi/trang; phân trang hiển thị đúng tổng số bản ghi (BR-002, BR-020, BR-027)
SQL đối soát (mẫu):
SELECT * FROM &lt;HO_SO_PHAP_LY&gt; WHERE LOAI_DU_LIEU = 'Pháp lý' AND TRANG_THAI_DU_LIEU = 'Hợp lệ' AND MA_TEP IN ('D10','D11','Q11') AND LOAI_KH = 'Cá nhân' AND MA_DAU_MOI = '31358001' AND MA_TEP = 'D11' AND NGAY_BAO_CAO BETWEEN '30/08/2025' AND '30/08/2025' ORDER BY NGAY_CAP_NHAT DESC;</t>
  </si>
  <si>
    <t>Kiểm tra tìm kiếm kết hợp hai điều kiện bổ sung</t>
  </si>
  <si>
    <t>AND giữa các bộ lọc — có dữ liệu</t>
  </si>
  <si>
    <t>+ Nhóm KH = Thay đổi TTQT + Trạng thái = Chờ xem xét</t>
  </si>
  <si>
    <t>1. Mở màn hình "Danh sách hồ sơ pháp lý"
2. Chọn 3 điều kiện bắt buộc
3. Chọn Nhóm KH và Trạng thái
4. Click Tìm kiếm</t>
  </si>
  <si>
    <t>Kết quả thỏa đồng thời cả hai điều kiện (AND); trong một bộ lọc chọn nhiều là OR (assumption Q23)
SQL đối soát (mẫu):
SELECT * FROM &lt;HO_SO_PHAP_LY&gt; WHERE LOAI_DU_LIEU = 'Pháp lý' AND TRANG_THAI_DU_LIEU = 'Hợp lệ' AND MA_TEP IN ('D10','D11','Q11') AND LOAI_KH = 'Cá nhân' AND MA_DAU_MOI = '31358001' AND MA_TEP = 'D11' AND NHOM_KH IN ('Thay đổi TTQT') AND TRANG_THAI IN ('Chờ xem xét') ORDER BY NGAY_CAP_NHAT DESC;</t>
  </si>
  <si>
    <t>Kiểm tra tìm kiếm kết hợp ba điều kiện bổ sung</t>
  </si>
  <si>
    <t>Leo thang điều kiện — có dữ liệu</t>
  </si>
  <si>
    <t>+ Nhóm KH + Trạng thái + Mã CIC</t>
  </si>
  <si>
    <t>1. Mở màn hình "Danh sách hồ sơ pháp lý"
2. Chọn 3 điều kiện bắt buộc và 3 điều kiện bổ sung
3. Click Tìm kiếm</t>
  </si>
  <si>
    <t>Kết quả thỏa đồng thời mọi điều kiện
SQL đối soát (mẫu):
SELECT * FROM &lt;HO_SO_PHAP_LY&gt; WHERE LOAI_DU_LIEU = 'Pháp lý' AND TRANG_THAI_DU_LIEU = 'Hợp lệ' AND MA_TEP IN ('D10','D11','Q11') AND LOAI_KH = 'Cá nhân' AND MA_DAU_MOI = '31358001' AND MA_TEP = 'D11' AND NHOM_KH IN ('Thay đổi TTQT') AND TRANG_THAI IN ('Chờ xem xét') AND MA_CIC IN ('CIC#231345') ORDER BY NGAY_CAP_NHAT DESC;</t>
  </si>
  <si>
    <t>Kiểm tra tìm kiếm kết hợp năm điều kiện bổ sung</t>
  </si>
  <si>
    <t>+ Mã CIC + Mã KH + Nhóm KH + Trạng thái + Ngày báo cáo</t>
  </si>
  <si>
    <t>1. Mở màn hình "Danh sách hồ sơ pháp lý"
2. Chọn 3 điều kiện bắt buộc và 5 điều kiện bổ sung
3. Click Tìm kiếm</t>
  </si>
  <si>
    <t>Kết quả thỏa đồng thời mọi điều kiện
SQL đối soát (mẫu):
SELECT * FROM &lt;HO_SO_PHAP_LY&gt; WHERE LOAI_DU_LIEU = 'Pháp lý' AND TRANG_THAI_DU_LIEU = 'Hợp lệ' AND MA_TEP IN ('D10','D11','Q11') AND LOAI_KH = 'Cá nhân' AND MA_DAU_MOI = '31358001' AND MA_TEP = 'D11' AND MA_CIC IN ('CIC#231345') AND MA_KH IN ('CIF0000123462') AND NHOM_KH IN ('Thay đổi TTQT') AND TRANG_THAI IN ('Chờ xem xét') AND NGAY_BAO_CAO = '30/08/2025' ORDER BY NGAY_CAP_NHAT DESC;</t>
  </si>
  <si>
    <t>Kiểm tra tìm kiếm kết hợp sáu điều kiện bổ sung</t>
  </si>
  <si>
    <t>+ Mã CIC + Mã KH + Nhóm KH + Trạng thái + Người cập nhật + Ngày báo cáo</t>
  </si>
  <si>
    <t>1. Mở màn hình "Danh sách hồ sơ pháp lý"
2. Chọn 3 điều kiện bắt buộc và 6 điều kiện bổ sung
3. Click Tìm kiếm</t>
  </si>
  <si>
    <t>Kết quả thỏa đồng thời mọi điều kiện
SQL đối soát (mẫu):
SELECT * FROM &lt;HO_SO_PHAP_LY&gt; WHERE LOAI_DU_LIEU = 'Pháp lý' AND TRANG_THAI_DU_LIEU = 'Hợp lệ' AND MA_TEP IN ('D10','D11','Q11') AND LOAI_KH = 'Cá nhân' AND MA_DAU_MOI = '31358001' AND MA_TEP = 'D11' AND MA_CIC IN ('CIC#231345') AND MA_KH IN ('CIF0000123462') AND NHOM_KH IN ('Thay đổi TTQT') AND TRANG_THAI IN ('Chờ xem xét') AND NGUOI_CAP_NHAT IN ('Sys') AND NGAY_BAO_CAO = '30/08/2025' ORDER BY NGAY_CAP_NHAT DESC;</t>
  </si>
  <si>
    <t>Kiểm tra tìm kiếm kết hợp bốn điều kiện bổ sung</t>
  </si>
  <si>
    <t>Leo thang điều kiện</t>
  </si>
  <si>
    <t>+ Mã CIC + Nhóm KH + Trạng thái + Ngày báo cáo</t>
  </si>
  <si>
    <t>1. Mở màn hình "Danh sách hồ sơ pháp lý"
2. Chọn 3 điều kiện bắt buộc và 4 điều kiện bổ sung
3. Click Tìm kiếm</t>
  </si>
  <si>
    <t>Kết quả thu hẹp, thỏa đồng thời mọi điều kiện
SQL đối soát (mẫu):
SELECT * FROM &lt;HO_SO_PHAP_LY&gt; WHERE LOAI_DU_LIEU = 'Pháp lý' AND TRANG_THAI_DU_LIEU = 'Hợp lệ' AND MA_TEP IN ('D10','D11','Q11') AND LOAI_KH = 'Cá nhân' AND MA_DAU_MOI = '31358001' AND MA_TEP = 'D11' AND MA_CIC IN ('CIC#231345') AND NHOM_KH IN ('Thay đổi TTQT') AND TRANG_THAI IN ('Chờ xem xét') AND NGAY_BAO_CAO = '30/08/2025' ORDER BY NGAY_CAP_NHAT DESC;</t>
  </si>
  <si>
    <t>Kiểm tra tìm kiếm kết hợp tất cả điều kiện</t>
  </si>
  <si>
    <t>Mọi điều kiện (bật cả Tên tệp, CCCD/CMND)</t>
  </si>
  <si>
    <t>Mọi bộ lọc có giá trị khớp 1 hồ sơ</t>
  </si>
  <si>
    <t>1. Mở màn hình "Danh sách hồ sơ pháp lý"
2. Bật mọi bộ lọc trong Thêm bộ lọc
3. Chọn giá trị cho mọi điều kiện
4. Click Tìm kiếm</t>
  </si>
  <si>
    <t>Chỉ trả về hồ sơ thỏa đồng thời toàn bộ điều kiện
SQL đối soát (mẫu):
SELECT * FROM &lt;HO_SO_PHAP_LY&gt; WHERE LOAI_DU_LIEU = 'Pháp lý' AND TRANG_THAI_DU_LIEU = 'Hợp lệ' AND MA_TEP IN ('D10','D11','Q11') AND LOAI_KH = 'Cá nhân' AND MA_DAU_MOI = '31358001' AND MA_TEP = 'D11' AND &lt;mọi điều kiện bổ sung&gt; ORDER BY NGAY_CAP_NHAT DESC;</t>
  </si>
  <si>
    <t>Kiểm tra sắp xếp mặc định</t>
  </si>
  <si>
    <t>Thứ tự kết quả</t>
  </si>
  <si>
    <t>Hồ sơ có Ngày cập nhật khác nhau</t>
  </si>
  <si>
    <t>1. Mở màn hình "Danh sách hồ sơ pháp lý", chọn Loại KH = Cá nhân, Mã đầu mối = 31358001, Mã tệp = D11, click Tìm kiếm
2. Bật cột Ngày cập nhật</t>
  </si>
  <si>
    <t>Ngày cập nhật mới nhất nằm trên cùng (BR-020)</t>
  </si>
  <si>
    <t>Kiểm tra phạm vi dữ liệu danh sách</t>
  </si>
  <si>
    <t>Chỉ hồ sơ pháp lý hợp lệ</t>
  </si>
  <si>
    <t>Kho có hồ sơ loại khác Pháp lý, hồ sơ không Hợp lệ, tệp D01</t>
  </si>
  <si>
    <t>1. Mở màn hình "Danh sách hồ sơ pháp lý", chọn Loại KH = Cá nhân, Mã đầu mối = 31358001, Mã tệp = D11, click Tìm kiếm</t>
  </si>
  <si>
    <t>Không hiển thị hồ sơ khác loại Pháp lý, không Hợp lệ, hoặc không thuộc D10/D11/Q11 (BR-002)
SQL đối soát (mẫu):
SELECT * FROM &lt;HO_SO_PHAP_LY&gt; WHERE LOAI_DU_LIEU = 'Pháp lý' AND TRANG_THAI_DU_LIEU = 'Hợp lệ' AND MA_TEP IN ('D10','D11','Q11') AND LOAI_KH = 'Cá nhân' AND MA_DAU_MOI = '31358001' AND MA_TEP = 'D11' ORDER BY NGAY_CAP_NHAT DESC;</t>
  </si>
  <si>
    <t>Kiểm tra đổi tiêu đề cột CCCD/MSDN theo loại khách hàng</t>
  </si>
  <si>
    <t>Tiêu đề cột sau Tìm kiếm</t>
  </si>
  <si>
    <t>Cá nhân rồi Tổ chức</t>
  </si>
  <si>
    <t>1. Mở màn hình "Danh sách hồ sơ pháp lý", chọn Loại KH = Cá nhân, Mã đầu mối = 31358001, Mã tệp = D11, click Tìm kiếm
2. Đổi Loại KH = Tổ chức, chưa Tìm kiếm
3. Click Tìm kiếm</t>
  </si>
  <si>
    <t>Trước Tìm kiếm tiêu đề vẫn "CCCD"; sau Tìm kiếm tiêu đề "MSDN", dữ liệu TC011 (BR-017, assumption Q23)</t>
  </si>
  <si>
    <t>Kiểm tra tìm kiếm thành công không có dữ liệu</t>
  </si>
  <si>
    <t>Kiểm tra tìm kiếm theo chỉ ba điều kiện bắt buộc không có dữ liệu</t>
  </si>
  <si>
    <t>Tìm kiếm theo chỉ ba điều kiện bắt buộc — không có dữ liệu</t>
  </si>
  <si>
    <t>Loại KH = Cá nhân, Mã đầu mối = 79202501, Mã tệp = Q11 (đầu mối chưa có hồ sơ Q11 cá nhân)</t>
  </si>
  <si>
    <t>1. Mở màn hình "Danh sách hồ sơ pháp lý"
2. Chọn điều kiện: Loại KH = Cá nhân, Mã đầu mối = 79202501, Mã tệp = Q11 (đầu mối chưa có hồ sơ Q11 cá nhân)
3. Click Tìm kiếm</t>
  </si>
  <si>
    <t>Tìm kiếm thực hiện thành công (không có lỗi validate); toast INF_003 "Không tìm thấy bản ghi phù hợp."; lưới hiển thị empty state "Không tìm thấy bản ghi phù hợp." kèm icon; phân trang "0 - 0 trên tổng số 0 bản ghi"; không hiển thị dải thao tác hàng loạt và banner (EXC-03, assumption Q30)
SQL đối soát (mẫu):
SELECT * FROM &lt;HO_SO_PHAP_LY&gt; WHERE LOAI_DU_LIEU = 'Pháp lý' AND TRANG_THAI_DU_LIEU = 'Hợp lệ' AND MA_TEP IN ('D10','D11','Q11') AND LOAI_KH = 'Cá nhân' AND MA_DAU_MOI = '79202501' AND MA_TEP = 'Q11' -- 0 bản ghi ORDER BY NGAY_CAP_NHAT DESC;</t>
  </si>
  <si>
    <t>Kiểm tra tìm kiếm theo loại khách hàng tổ chức không có dữ liệu</t>
  </si>
  <si>
    <t>Tìm kiếm theo loại khách hàng tổ chức — không có dữ liệu</t>
  </si>
  <si>
    <t>Loại KH = Tổ chức, 79202501, D10 (chưa có hồ sơ tổ chức D10)</t>
  </si>
  <si>
    <t>1. Mở màn hình "Danh sách hồ sơ pháp lý"
2. Chọn điều kiện: Loại KH = Tổ chức, 79202501, D10 (chưa có hồ sơ tổ chức D10)
3. Click Tìm kiếm</t>
  </si>
  <si>
    <t>Tìm kiếm thực hiện thành công (không có lỗi validate); toast INF_003 "Không tìm thấy bản ghi phù hợp."; lưới hiển thị empty state "Không tìm thấy bản ghi phù hợp." kèm icon; phân trang "0 - 0 trên tổng số 0 bản ghi"; không hiển thị dải thao tác hàng loạt và banner (EXC-03, assumption Q30)
SQL đối soát (mẫu):
SELECT * FROM &lt;HO_SO_PHAP_LY&gt; WHERE LOAI_DU_LIEU = 'Pháp lý' AND TRANG_THAI_DU_LIEU = 'Hợp lệ' AND MA_TEP IN ('D10','D11','Q11') AND LOAI_KH = 'Tổ chức' AND MA_DAU_MOI = '79202501' AND MA_TEP = 'D10' -- 0 bản ghi ORDER BY NGAY_CAP_NHAT DESC;</t>
  </si>
  <si>
    <t>Kiểm tra tìm kiếm theo mã tệp Q11 không có dữ liệu</t>
  </si>
  <si>
    <t>Tìm kiếm theo mã tệp Q11 — không có dữ liệu</t>
  </si>
  <si>
    <t>Cá nhân, 79202501, Q11 (chưa có hồ sơ Q11)</t>
  </si>
  <si>
    <t>1. Mở màn hình "Danh sách hồ sơ pháp lý"
2. Chọn điều kiện: Cá nhân, 79202501, Q11 (chưa có hồ sơ Q11)
3. Click Tìm kiếm</t>
  </si>
  <si>
    <t>Kiểm tra tìm kiếm theo mã CIC không có dữ liệu</t>
  </si>
  <si>
    <t>Tìm kiếm theo mã CIC — không có dữ liệu</t>
  </si>
  <si>
    <t>+ Mã CIC = CIC#564456 (chỉ có hồ sơ tệp D10, không có hồ sơ D11)</t>
  </si>
  <si>
    <t>1. Mở màn hình "Danh sách hồ sơ pháp lý"
2. Chọn điều kiện: + Mã CIC = CIC#564456 (chỉ có hồ sơ tệp D10, không có hồ sơ D11)
3. Click Tìm kiếm</t>
  </si>
  <si>
    <t>Tìm kiếm thực hiện thành công (không có lỗi validate); toast INF_003 "Không tìm thấy bản ghi phù hợp."; lưới hiển thị empty state "Không tìm thấy bản ghi phù hợp." kèm icon; phân trang "0 - 0 trên tổng số 0 bản ghi"; không hiển thị dải thao tác hàng loạt và banner (EXC-03, assumption Q30)
SQL đối soát (mẫu):
SELECT * FROM &lt;HO_SO_PHAP_LY&gt; WHERE LOAI_DU_LIEU = 'Pháp lý' AND TRANG_THAI_DU_LIEU = 'Hợp lệ' AND MA_TEP IN ('D10','D11','Q11') AND LOAI_KH = 'Cá nhân' AND MA_DAU_MOI = '31358001' AND MA_TEP = 'D11' AND MA_CIC IN ('CIC#564456') -- 0 bản ghi ORDER BY NGAY_CAP_NHAT DESC;</t>
  </si>
  <si>
    <t>Kiểm tra tìm kiếm theo mã khách hàng khớp chính xác không có dữ liệu</t>
  </si>
  <si>
    <t>Tìm kiếm theo mã khách hàng khớp chính xác — không có dữ liệu</t>
  </si>
  <si>
    <t>+ Mã KH = CIF0000123460 (chỉ có hồ sơ tệp D10)</t>
  </si>
  <si>
    <t>1. Mở màn hình "Danh sách hồ sơ pháp lý"
2. Chọn điều kiện: + Mã KH = CIF0000123460 (chỉ có hồ sơ tệp D10)
3. Click Tìm kiếm</t>
  </si>
  <si>
    <t>Tìm kiếm thực hiện thành công (không có lỗi validate); toast INF_003 "Không tìm thấy bản ghi phù hợp."; lưới hiển thị empty state "Không tìm thấy bản ghi phù hợp." kèm icon; phân trang "0 - 0 trên tổng số 0 bản ghi"; không hiển thị dải thao tác hàng loạt và banner (EXC-03, assumption Q30)
SQL đối soát (mẫu):
SELECT * FROM &lt;HO_SO_PHAP_LY&gt; WHERE LOAI_DU_LIEU = 'Pháp lý' AND TRANG_THAI_DU_LIEU = 'Hợp lệ' AND MA_TEP IN ('D10','D11','Q11') AND LOAI_KH = 'Cá nhân' AND MA_DAU_MOI = '31358001' AND MA_TEP = 'D11' AND MA_KH IN ('CIF0000123460') -- 0 bản ghi ORDER BY NGAY_CAP_NHAT DESC;</t>
  </si>
  <si>
    <t>Kiểm tra tìm kiếm theo nhóm khách hàng thay đổi thông tin quan trọng không có dữ liệu</t>
  </si>
  <si>
    <t>Tìm kiếm theo nhóm khách hàng thay đổi thông tin quan trọng — không có dữ liệu</t>
  </si>
  <si>
    <t>+ Nhóm KH = Thay đổi TTQT trên tệp chưa có hồ sơ thay đổi TTQT</t>
  </si>
  <si>
    <t>1. Mở màn hình "Danh sách hồ sơ pháp lý"
2. Chọn điều kiện: + Nhóm KH = Thay đổi TTQT trên tệp chưa có hồ sơ thay đổi TTQT
3. Click Tìm kiếm</t>
  </si>
  <si>
    <t>Tìm kiếm thực hiện thành công (không có lỗi validate); toast INF_003 "Không tìm thấy bản ghi phù hợp."; lưới hiển thị empty state "Không tìm thấy bản ghi phù hợp." kèm icon; phân trang "0 - 0 trên tổng số 0 bản ghi"; không hiển thị dải thao tác hàng loạt và banner (EXC-03, assumption Q30)
SQL đối soát (mẫu):
SELECT * FROM &lt;HO_SO_PHAP_LY&gt; WHERE LOAI_DU_LIEU = 'Pháp lý' AND TRANG_THAI_DU_LIEU = 'Hợp lệ' AND MA_TEP IN ('D10','D11','Q11') AND LOAI_KH = 'Cá nhân' AND MA_DAU_MOI = '31358001' AND MA_TEP = 'D11' AND NHOM_KH IN ('Thay đổi TTQT') -- 0 bản ghi ORDER BY NGAY_CAP_NHAT DESC;</t>
  </si>
  <si>
    <t>Kiểm tra tìm kiếm theo nhóm khách hàng mới không quan hệ tín dụng không có dữ liệu</t>
  </si>
  <si>
    <t>Tìm kiếm theo nhóm khách hàng mới không quan hệ tín dụng — không có dữ liệu</t>
  </si>
  <si>
    <t>+ Nhóm KH = Mới - Không QHTD trên tệp chỉ có khách hàng cũ</t>
  </si>
  <si>
    <t>1. Mở màn hình "Danh sách hồ sơ pháp lý"
2. Chọn điều kiện: + Nhóm KH = Mới - Không QHTD trên tệp chỉ có khách hàng cũ
3. Click Tìm kiếm</t>
  </si>
  <si>
    <t>Tìm kiếm thực hiện thành công (không có lỗi validate); toast INF_003 "Không tìm thấy bản ghi phù hợp."; lưới hiển thị empty state "Không tìm thấy bản ghi phù hợp." kèm icon; phân trang "0 - 0 trên tổng số 0 bản ghi"; không hiển thị dải thao tác hàng loạt và banner (EXC-03, assumption Q30)
SQL đối soát (mẫu):
SELECT * FROM &lt;HO_SO_PHAP_LY&gt; WHERE LOAI_DU_LIEU = 'Pháp lý' AND TRANG_THAI_DU_LIEU = 'Hợp lệ' AND MA_TEP IN ('D10','D11','Q11') AND LOAI_KH = 'Cá nhân' AND MA_DAU_MOI = '31358001' AND MA_TEP = 'D11' AND NHOM_KH IN ('Mới - Không QHTD') -- 0 bản ghi ORDER BY NGAY_CAP_NHAT DESC;</t>
  </si>
  <si>
    <t>Kiểm tra tìm kiếm theo trạng thái không có dữ liệu</t>
  </si>
  <si>
    <t>Tìm kiếm theo trạng thái — không có dữ liệu</t>
  </si>
  <si>
    <t>+ Trạng thái = Từ chối trên tệp chưa có hồ sơ bị từ chối</t>
  </si>
  <si>
    <t>1. Mở màn hình "Danh sách hồ sơ pháp lý"
2. Chọn điều kiện: + Trạng thái = Từ chối trên tệp chưa có hồ sơ bị từ chối
3. Click Tìm kiếm</t>
  </si>
  <si>
    <t>Tìm kiếm thực hiện thành công (không có lỗi validate); toast INF_003 "Không tìm thấy bản ghi phù hợp."; lưới hiển thị empty state "Không tìm thấy bản ghi phù hợp." kèm icon; phân trang "0 - 0 trên tổng số 0 bản ghi"; không hiển thị dải thao tác hàng loạt và banner (EXC-03, assumption Q30)
SQL đối soát (mẫu):
SELECT * FROM &lt;HO_SO_PHAP_LY&gt; WHERE LOAI_DU_LIEU = 'Pháp lý' AND TRANG_THAI_DU_LIEU = 'Hợp lệ' AND MA_TEP IN ('D10','D11','Q11') AND LOAI_KH = 'Cá nhân' AND MA_DAU_MOI = '31358001' AND MA_TEP = 'D11' AND TRANG_THAI IN ('Từ chối') -- 0 bản ghi ORDER BY NGAY_CAP_NHAT DESC;</t>
  </si>
  <si>
    <t>Kiểm tra tìm kiếm theo người cập nhật không có dữ liệu</t>
  </si>
  <si>
    <t>Tìm kiếm theo người cập nhật — không có dữ liệu</t>
  </si>
  <si>
    <t>+ Người cập nhật = cbxl03 (chưa cập nhật hồ sơ nào)</t>
  </si>
  <si>
    <t>1. Mở màn hình "Danh sách hồ sơ pháp lý"
2. Chọn điều kiện: + Người cập nhật = cbxl03 (chưa cập nhật hồ sơ nào)
3. Click Tìm kiếm</t>
  </si>
  <si>
    <t>Tìm kiếm thực hiện thành công (không có lỗi validate); toast INF_003 "Không tìm thấy bản ghi phù hợp."; lưới hiển thị empty state "Không tìm thấy bản ghi phù hợp." kèm icon; phân trang "0 - 0 trên tổng số 0 bản ghi"; không hiển thị dải thao tác hàng loạt và banner (EXC-03, assumption Q30)
SQL đối soát (mẫu):
SELECT * FROM &lt;HO_SO_PHAP_LY&gt; WHERE LOAI_DU_LIEU = 'Pháp lý' AND TRANG_THAI_DU_LIEU = 'Hợp lệ' AND MA_TEP IN ('D10','D11','Q11') AND LOAI_KH = 'Cá nhân' AND MA_DAU_MOI = '31358001' AND MA_TEP = 'D11' AND NGUOI_CAP_NHAT IN ('cbxl03') -- 0 bản ghi ORDER BY NGAY_CAP_NHAT DESC;</t>
  </si>
  <si>
    <t>Kiểm tra tìm kiếm theo tên tệp không có dữ liệu</t>
  </si>
  <si>
    <t>Tìm kiếm theo tên tệp — không có dữ liệu</t>
  </si>
  <si>
    <t>+ Tên tệp chỉ chứa hồ sơ tổ chức (khi Loại KH = Cá nhân)</t>
  </si>
  <si>
    <t>1. Mở màn hình "Danh sách hồ sơ pháp lý"
2. Chọn điều kiện: + Tên tệp chỉ chứa hồ sơ tổ chức (khi Loại KH = Cá nhân)
3. Click Tìm kiếm</t>
  </si>
  <si>
    <t>Tìm kiếm thực hiện thành công (không có lỗi validate); toast INF_003 "Không tìm thấy bản ghi phù hợp."; lưới hiển thị empty state "Không tìm thấy bản ghi phù hợp." kèm icon; phân trang "0 - 0 trên tổng số 0 bản ghi"; không hiển thị dải thao tác hàng loạt và banner (EXC-03, assumption Q30)
SQL đối soát (mẫu):
SELECT * FROM &lt;HO_SO_PHAP_LY&gt; WHERE LOAI_DU_LIEU = 'Pháp lý' AND TRANG_THAI_DU_LIEU = 'Hợp lệ' AND MA_TEP IN ('D10','D11','Q11') AND LOAI_KH = 'Cá nhân' AND MA_DAU_MOI = '31358001' AND MA_TEP = 'D11' AND TEN_TEP IN ('&lt;tệp chỉ có hồ sơ tổ chức&gt;') -- 0 bản ghi ORDER BY NGAY_CAP_NHAT DESC;</t>
  </si>
  <si>
    <t>Kiểm tra tìm kiếm theo CCCD/CMND không có dữ liệu</t>
  </si>
  <si>
    <t>Tìm kiếm theo CCCD/CMND — không có dữ liệu</t>
  </si>
  <si>
    <t>+ CCCD/CMND = 060300099999 (khách hàng thuộc tệp D10)</t>
  </si>
  <si>
    <t>1. Mở màn hình "Danh sách hồ sơ pháp lý"
2. Chọn điều kiện: + CCCD/CMND = 060300099999 (khách hàng thuộc tệp D10)
3. Click Tìm kiếm</t>
  </si>
  <si>
    <t>Tìm kiếm thực hiện thành công (không có lỗi validate); toast INF_003 "Không tìm thấy bản ghi phù hợp."; lưới hiển thị empty state "Không tìm thấy bản ghi phù hợp." kèm icon; phân trang "0 - 0 trên tổng số 0 bản ghi"; không hiển thị dải thao tác hàng loạt và banner (EXC-03, assumption Q30)
SQL đối soát (mẫu):
SELECT * FROM &lt;HO_SO_PHAP_LY&gt; WHERE LOAI_DU_LIEU = 'Pháp lý' AND TRANG_THAI_DU_LIEU = 'Hợp lệ' AND MA_TEP IN ('D10','D11','Q11') AND LOAI_KH = 'Cá nhân' AND MA_DAU_MOI = '31358001' AND MA_TEP = 'D11' AND CN008 IN ('060300099999') -- 0 bản ghi ORDER BY NGAY_CAP_NHAT DESC;</t>
  </si>
  <si>
    <t>Kiểm tra tìm kiếm theo khoảng ngày cập nhật không có dữ liệu</t>
  </si>
  <si>
    <t>Tìm kiếm theo khoảng ngày cập nhật — không có dữ liệu</t>
  </si>
  <si>
    <t>+ Ngày cập nhật 01/01/2020 → 31/01/2020 (chưa có hồ sơ)</t>
  </si>
  <si>
    <t>1. Mở màn hình "Danh sách hồ sơ pháp lý"
2. Chọn điều kiện: + Ngày cập nhật 01/01/2020 → 31/01/2020 (chưa có hồ sơ)
3. Click Tìm kiếm</t>
  </si>
  <si>
    <t>Tìm kiếm thực hiện thành công (không có lỗi validate); toast INF_003 "Không tìm thấy bản ghi phù hợp."; lưới hiển thị empty state "Không tìm thấy bản ghi phù hợp." kèm icon; phân trang "0 - 0 trên tổng số 0 bản ghi"; không hiển thị dải thao tác hàng loạt và banner (EXC-03, assumption Q30)
SQL đối soát (mẫu):
SELECT * FROM &lt;HO_SO_PHAP_LY&gt; WHERE LOAI_DU_LIEU = 'Pháp lý' AND TRANG_THAI_DU_LIEU = 'Hợp lệ' AND MA_TEP IN ('D10','D11','Q11') AND LOAI_KH = 'Cá nhân' AND MA_DAU_MOI = '31358001' AND MA_TEP = 'D11' AND TRUNC(NGAY_CAP_NHAT) BETWEEN '01/01/2020' AND '31/01/2020' -- 0 bản ghi ORDER BY NGAY_CAP_NHAT DESC;</t>
  </si>
  <si>
    <t>Kiểm tra tìm kiếm theo khoảng ngày báo cáo không có dữ liệu</t>
  </si>
  <si>
    <t>Tìm kiếm theo khoảng ngày báo cáo — không có dữ liệu</t>
  </si>
  <si>
    <t>+ Ngày báo cáo 01/01/2020 → 31/01/2020 (chưa có kỳ báo cáo)</t>
  </si>
  <si>
    <t>1. Mở màn hình "Danh sách hồ sơ pháp lý"
2. Chọn điều kiện: + Ngày báo cáo 01/01/2020 → 31/01/2020 (chưa có kỳ báo cáo)
3. Click Tìm kiếm</t>
  </si>
  <si>
    <t>Tìm kiếm thực hiện thành công (không có lỗi validate); toast INF_003 "Không tìm thấy bản ghi phù hợp."; lưới hiển thị empty state "Không tìm thấy bản ghi phù hợp." kèm icon; phân trang "0 - 0 trên tổng số 0 bản ghi"; không hiển thị dải thao tác hàng loạt và banner (EXC-03, assumption Q30)
SQL đối soát (mẫu):
SELECT * FROM &lt;HO_SO_PHAP_LY&gt; WHERE LOAI_DU_LIEU = 'Pháp lý' AND TRANG_THAI_DU_LIEU = 'Hợp lệ' AND MA_TEP IN ('D10','D11','Q11') AND LOAI_KH = 'Cá nhân' AND MA_DAU_MOI = '31358001' AND MA_TEP = 'D11' AND NGAY_BAO_CAO BETWEEN '01/01/2020' AND '31/01/2020' -- 0 bản ghi ORDER BY NGAY_CAP_NHAT DESC;</t>
  </si>
  <si>
    <t>Kiểm tra tìm kiếm kết hợp nhiều điều kiện không có dữ liệu</t>
  </si>
  <si>
    <t>Mỗi điều kiện riêng có dữ liệu nhưng tổ hợp không có</t>
  </si>
  <si>
    <t>+ Mã CIC = CIC#231289 + Trạng thái = Từ chối (KH này không có hồ sơ bị từ chối)</t>
  </si>
  <si>
    <t>1. Mở màn hình "Danh sách hồ sơ pháp lý"
2. Chọn 3 điều kiện bắt buộc, Mã CIC và Trạng thái
3. Click Tìm kiếm</t>
  </si>
  <si>
    <t>Tìm kiếm thực hiện thành công (không có lỗi validate); toast INF_003 "Không tìm thấy bản ghi phù hợp."; lưới hiển thị empty state "Không tìm thấy bản ghi phù hợp." kèm icon; phân trang "0 - 0 trên tổng số 0 bản ghi"; không hiển thị dải thao tác hàng loạt và banner (EXC-03, assumption Q30)
SQL đối soát (mẫu):
SELECT * FROM &lt;HO_SO_PHAP_LY&gt; WHERE LOAI_DU_LIEU = 'Pháp lý' AND TRANG_THAI_DU_LIEU = 'Hợp lệ' AND MA_TEP IN ('D10','D11','Q11') AND LOAI_KH = 'Cá nhân' AND MA_DAU_MOI = '31358001' AND MA_TEP = 'D11' AND MA_CIC IN ('CIC#231289') AND TRANG_THAI IN ('Từ chối') -- 0 bản ghi ORDER BY NGAY_CAP_NHAT DESC;</t>
  </si>
  <si>
    <t>Kiểm tra tìm kiếm kết hợp ba điều kiện không có dữ liệu</t>
  </si>
  <si>
    <t>Leo thang 3 điều kiện bổ sung — không có dữ liệu</t>
  </si>
  <si>
    <t>+ Mã CIC + Nhóm KH = Mới - Có QHTD + Trạng thái = Từ chối</t>
  </si>
  <si>
    <t>Tìm kiếm thực hiện thành công (không có lỗi validate); toast INF_003 "Không tìm thấy bản ghi phù hợp."; lưới hiển thị empty state "Không tìm thấy bản ghi phù hợp." kèm icon; phân trang "0 - 0 trên tổng số 0 bản ghi"; không hiển thị dải thao tác hàng loạt và banner (EXC-03, assumption Q30)
SQL đối soát (mẫu):
SELECT * FROM &lt;HO_SO_PHAP_LY&gt; WHERE LOAI_DU_LIEU = 'Pháp lý' AND TRANG_THAI_DU_LIEU = 'Hợp lệ' AND MA_TEP IN ('D10','D11','Q11') AND LOAI_KH = 'Cá nhân' AND MA_DAU_MOI = '31358001' AND MA_TEP = 'D11' AND MA_CIC IN ('CIC#231289') AND NHOM_KH IN ('Mới - Có QHTD') AND TRANG_THAI IN ('Từ chối') -- 0 bản ghi ORDER BY NGAY_CAP_NHAT DESC;</t>
  </si>
  <si>
    <t>Kiểm tra tìm kiếm kết hợp bốn điều kiện không có dữ liệu</t>
  </si>
  <si>
    <t>Leo thang 4 điều kiện bổ sung — không có dữ liệu</t>
  </si>
  <si>
    <t>+ Mã CIC + Mã KH + Nhóm KH + Trạng thái (tổ hợp không tồn tại)</t>
  </si>
  <si>
    <t>Tìm kiếm thực hiện thành công (không có lỗi validate); toast INF_003 "Không tìm thấy bản ghi phù hợp."; lưới hiển thị empty state "Không tìm thấy bản ghi phù hợp." kèm icon; phân trang "0 - 0 trên tổng số 0 bản ghi"; không hiển thị dải thao tác hàng loạt và banner (EXC-03, assumption Q30)
SQL đối soát (mẫu):
SELECT * FROM &lt;HO_SO_PHAP_LY&gt; WHERE LOAI_DU_LIEU = 'Pháp lý' AND TRANG_THAI_DU_LIEU = 'Hợp lệ' AND MA_TEP IN ('D10','D11','Q11') AND LOAI_KH = 'Cá nhân' AND MA_DAU_MOI = '31358001' AND MA_TEP = 'D11' AND MA_CIC IN ('CIC#231289') AND MA_KH IN ('CIF0000123462') AND NHOM_KH IN ('Thay đổi TTQT') AND TRANG_THAI IN ('Từ chối') -- 0 bản ghi ORDER BY NGAY_CAP_NHAT DESC;</t>
  </si>
  <si>
    <t>Kiểm tra tìm kiếm kết hợp năm điều kiện không có dữ liệu</t>
  </si>
  <si>
    <t>Leo thang 5 điều kiện bổ sung — không có dữ liệu</t>
  </si>
  <si>
    <t>+ 4 điều kiện trên + Ngày báo cáo 01/01/2020 → 31/01/2020</t>
  </si>
  <si>
    <t>Tìm kiếm thực hiện thành công (không có lỗi validate); toast INF_003 "Không tìm thấy bản ghi phù hợp."; lưới hiển thị empty state "Không tìm thấy bản ghi phù hợp." kèm icon; phân trang "0 - 0 trên tổng số 0 bản ghi"; không hiển thị dải thao tác hàng loạt và banner (EXC-03, assumption Q30)
SQL đối soát (mẫu):
SELECT * FROM &lt;HO_SO_PHAP_LY&gt; WHERE LOAI_DU_LIEU = 'Pháp lý' AND TRANG_THAI_DU_LIEU = 'Hợp lệ' AND MA_TEP IN ('D10','D11','Q11') AND LOAI_KH = 'Cá nhân' AND MA_DAU_MOI = '31358001' AND MA_TEP = 'D11' AND MA_CIC IN ('CIC#231289') AND MA_KH IN ('CIF0000123462') AND NHOM_KH IN ('Thay đổi TTQT') AND TRANG_THAI IN ('Từ chối') AND NGAY_BAO_CAO BETWEEN '01/01/2020' AND '31/01/2020' -- 0 bản ghi ORDER BY NGAY_CAP_NHAT DESC;</t>
  </si>
  <si>
    <t>Kiểm tra tìm kiếm kết hợp sáu điều kiện không có dữ liệu</t>
  </si>
  <si>
    <t>Leo thang 6 điều kiện bổ sung — không có dữ liệu</t>
  </si>
  <si>
    <t>+ 5 điều kiện trên + Người cập nhật = cbxl03</t>
  </si>
  <si>
    <t>Tìm kiếm thực hiện thành công (không có lỗi validate); toast INF_003 "Không tìm thấy bản ghi phù hợp."; lưới hiển thị empty state "Không tìm thấy bản ghi phù hợp." kèm icon; phân trang "0 - 0 trên tổng số 0 bản ghi"; không hiển thị dải thao tác hàng loạt và banner (EXC-03, assumption Q30)
SQL đối soát (mẫu):
SELECT * FROM &lt;HO_SO_PHAP_LY&gt; WHERE LOAI_DU_LIEU = 'Pháp lý' AND TRANG_THAI_DU_LIEU = 'Hợp lệ' AND MA_TEP IN ('D10','D11','Q11') AND LOAI_KH = 'Cá nhân' AND MA_DAU_MOI = '31358001' AND MA_TEP = 'D11' AND &lt;5 điều kiện trên&gt; AND NGUOI_CAP_NHAT IN ('cbxl03') -- 0 bản ghi ORDER BY NGAY_CAP_NHAT DESC;</t>
  </si>
  <si>
    <t>Kiểm tra xuất Excel khi tìm kiếm không có dữ liệu</t>
  </si>
  <si>
    <t>Xuất theo bộ lọc khi kết quả rỗng</t>
  </si>
  <si>
    <t>Kết quả tìm kiếm 0 bản ghi</t>
  </si>
  <si>
    <t>1. Mở màn hình "Danh sách hồ sơ pháp lý"
2. Tìm kiếm điều kiện không có dữ liệu
3. Click Xuất Excel → Xuất theo bộ lọc</t>
  </si>
  <si>
    <t>Tệp HoSoPhapLy_ddmmyyyy chỉ có hàng tiêu đề (assumption Q28)</t>
  </si>
  <si>
    <t>Kiểm tra tìm kiếm lại sau khi không có dữ liệu</t>
  </si>
  <si>
    <t>Chuyển từ kết quả rỗng sang có dữ liệu</t>
  </si>
  <si>
    <t>1. Mở màn hình "Danh sách hồ sơ pháp lý"
2. Tìm kiếm điều kiện không có dữ liệu
3. Đổi Mã đầu mối = 31358001, Mã tệp = D11
4. Click Tìm kiếm</t>
  </si>
  <si>
    <t>Empty state biến mất; lưới hiển thị dữ liệu trang 1, phân trang hiển thị lại</t>
  </si>
  <si>
    <t>Kiểm tra xuất file Excel thành công</t>
  </si>
  <si>
    <t>Kiểm tra xuất trang hiện tại thành công</t>
  </si>
  <si>
    <t>Xuất trang hiện tại</t>
  </si>
  <si>
    <t>Trang 1, 20 bản ghi</t>
  </si>
  <si>
    <t>1. Mở màn hình "Danh sách hồ sơ pháp lý", chọn Loại KH = Cá nhân, Mã đầu mối = 31358001, Mã tệp = D11, click Tìm kiếm
2. Click Xuất Excel
3. Chọn Xuất trang hiện tại</t>
  </si>
  <si>
    <t>Xuất các bản ghi của trang hiện tại ra tệp HoSoPhapLy_ddmmyyyy.xlsx; các trường là mọi trường có thể chọn trong Cấu hình hiển thị:
- STT
- Ngày báo cáo
- Mã tệp
- Tên tệp
- Mã đầu mối
- Mã khách hàng
- Tên khách hàng
- CCCD/MSDN
- Địa chỉ
- Loại khách hàng
- Mã CIC
- Nhóm khách hàng
- Trạng thái
- Ngày cập nhật
- Người cập nhật
Dữ liệu từng dòng khớp lưới (BR-022, assumption Q28)</t>
  </si>
  <si>
    <t>Kiểm tra xuất theo bộ lọc thành công</t>
  </si>
  <si>
    <t>Xuất theo bộ lọc</t>
  </si>
  <si>
    <t>1. Mở màn hình "Danh sách hồ sơ pháp lý", chọn Loại KH = Cá nhân, Mã đầu mối = 31358001, Mã tệp = D11, click Tìm kiếm
2. Click Xuất Excel
3. Chọn Xuất theo bộ lọc</t>
  </si>
  <si>
    <t>Xuất mọi bản ghi của mọi trang theo bộ lọc đang áp dụng; các trường:
- STT
- Ngày báo cáo
- Mã tệp
- Tên tệp
- Mã đầu mối
- Mã khách hàng
- Tên khách hàng
- CCCD/MSDN
- Địa chỉ
- Loại khách hàng
- Mã CIC
- Nhóm khách hàng
- Trạng thái
- Ngày cập nhật
- Người cập nhật
Số dòng = tổng số bản ghi tìm được (BR-022)
SQL đối soát (mẫu):
SELECT * FROM &lt;HO_SO_PHAP_LY&gt; WHERE LOAI_DU_LIEU = 'Pháp lý' AND TRANG_THAI_DU_LIEU = 'Hợp lệ' AND MA_TEP IN ('D10','D11','Q11') AND LOAI_KH = 'Cá nhân' AND MA_DAU_MOI = '31358001' AND MA_TEP = 'D11' ORDER BY NGAY_CAP_NHAT DESC;</t>
  </si>
  <si>
    <t>Kiểm tra in trang hiện tại thành công</t>
  </si>
  <si>
    <t>In trang hiện tại</t>
  </si>
  <si>
    <t>1. Mở màn hình "Danh sách hồ sơ pháp lý", chọn Loại KH = Cá nhân, Mã đầu mối = 31358001, Mã tệp = D11, click Tìm kiếm
2. Click Xuất Excel
3. Chọn In trang hiện tại</t>
  </si>
  <si>
    <t>Hiển thị màn hình xem trước bản in các bản ghi của trang hiện tại; cho phép chọn in từ giao diện xem trước ra máy in mặc định của thiết bị (BR-022)</t>
  </si>
  <si>
    <t>Kiểm tra thao tác trên danh sách thành công</t>
  </si>
  <si>
    <t>Kiểm tra xóa mã đầu mối đã chọn</t>
  </si>
  <si>
    <t>Phụ thuộc khi xóa Mã đầu mối</t>
  </si>
  <si>
    <t>Đã chọn Mã đầu mối 31358001, Mã CIC, Mã KH</t>
  </si>
  <si>
    <t>1. Mở màn hình "Danh sách hồ sơ pháp lý"
2. Chọn Mã đầu mối 31358001, chọn Mã CIC và Mã KH
3. Xóa Mã đầu mối
4. Mở Mã CIC, Mã KH</t>
  </si>
  <si>
    <t>Giá trị Mã CIC, Mã KH, Tên tệp, CCCD/CMND đã chọn bị xóa; danh sách option của các bộ lọc này rỗng cho tới khi chọn lại Mã đầu mối (BR-015, assumption Q22)</t>
  </si>
  <si>
    <t>Kiểm tra làm mới sau khi tìm kiếm</t>
  </si>
  <si>
    <t>Click Làm mới khi đang có kết quả</t>
  </si>
  <si>
    <t>1. Mở màn hình "Danh sách hồ sơ pháp lý", chọn Loại KH = Cá nhân, Mã đầu mối = 31358001, Mã tệp = D11, click Tìm kiếm
2. Click Làm mới</t>
  </si>
  <si>
    <t>Điều kiện trở về mặc định; lưới hiển thị "Chưa có dữ liệu. Vui lòng chọn tiêu chí tìm kiếm." (assumption Q20)</t>
  </si>
  <si>
    <t>Kiểm tra lọc lại danh sách mã CIC, mã khách hàng khi đổi điều kiện cha</t>
  </si>
  <si>
    <t>Phụ thuộc bộ lọc</t>
  </si>
  <si>
    <t>Đổi Mã đầu mối 31358001 → 79202501</t>
  </si>
  <si>
    <t>1. Mở màn hình "Danh sách hồ sơ pháp lý"
2. Chọn Mã đầu mối 31358001, chọn 2 Mã KH
3. Đổi Mã đầu mối = 79202501
4. Mở Mã KH, Mã CIC</t>
  </si>
  <si>
    <t>Giá trị Mã KH đã chọn bị xóa; option Mã CIC, Mã KH chỉ còn của 79202501 (BR-015, assumption Q22)</t>
  </si>
  <si>
    <t>Kiểm tra thêm bộ lọc</t>
  </si>
  <si>
    <t>Bật / tắt bộ lọc bổ sung</t>
  </si>
  <si>
    <t>Bật Tên tệp, CCCD/CMND; tắt Người cập nhật</t>
  </si>
  <si>
    <t>1. Mở màn hình "Danh sách hồ sơ pháp lý"
2. Click Thêm bộ lọc
3. Bật Tên tệp, CCCD/CMND; tắt Người cập nhật đang có giá trị
4. Click Tìm kiếm</t>
  </si>
  <si>
    <t>Tên tệp, CCCD/CMND hiển thị; Người cập nhật ẩn và giá trị bị loại khỏi điều kiện; 3 bộ lọc bắt buộc không tắt được (BR-019, assumption Q29)</t>
  </si>
  <si>
    <t>Kiểm tra cấu hình hiển thị</t>
  </si>
  <si>
    <t>Ẩn/hiện, kéo thả, áp dụng, lưu</t>
  </si>
  <si>
    <t>Bật Mã tệp, Loại KH; ẩn Địa chỉ; kéo Mã CIC lên đầu</t>
  </si>
  <si>
    <t>1. Mở màn hình "Danh sách hồ sơ pháp lý", chọn Loại KH = Cá nhân, Mã đầu mối = 31358001, Mã tệp = D11, click Tìm kiếm
2. Mở Cấu hình hiển thị
3. Thực hiện thay đổi
4. Click Áp dụng
5. Nhấn F5</t>
  </si>
  <si>
    <t>Lưới hiển thị đúng cấu hình; 4 cột bắt buộc (Ngày báo cáo, Mã đầu mối, Mã KH, Thao tác) không bỏ chọn được; cấu hình giữ sau F5 trên cùng máy (BR-021, assumption Q29)</t>
  </si>
  <si>
    <t>Kiểm tra menu thao tác theo trạng thái</t>
  </si>
  <si>
    <t>Bảng quyết định trạng thái × mục menu</t>
  </si>
  <si>
    <t>4 hồ sơ: Chờ cấp mã, Chờ xem xét, Đã xử lý, Từ chối</t>
  </si>
  <si>
    <t>1. Mở màn hình "Danh sách hồ sơ pháp lý", chọn Loại KH = Cá nhân, Mã đầu mối = 31358001, Mã tệp = D11, click Tìm kiếm
2. Mở menu Thao tác từng dòng</t>
  </si>
  <si>
    <t>Chỉ hồ sơ Chờ xem xét có "Xử lý hồ sơ"; mọi hồ sơ có "Xem" (BR-023)</t>
  </si>
  <si>
    <t>Kiểm tra xử lý một hồ sơ từ dải thao tác</t>
  </si>
  <si>
    <t>N = 1</t>
  </si>
  <si>
    <t>1 hồ sơ D11 Chờ xem xét</t>
  </si>
  <si>
    <t>1. Mở màn hình "Danh sách hồ sơ pháp lý", chọn Loại KH = Cá nhân, Mã đầu mối = 31358001, Mã tệp = D11, click Tìm kiếm
2. Tick 1 hồ sơ
3. Click Xử lý hồ sơ trên dải</t>
  </si>
  <si>
    <t>Mở popup "Xử lý hồ sơ pháp lý tệp D10/D11" của hồ sơ đó (BR-026)</t>
  </si>
  <si>
    <t>Kiểm tra xử lý một hồ sơ tệp Q11 từ dải thao tác</t>
  </si>
  <si>
    <t>N = 1, tệp Q11</t>
  </si>
  <si>
    <t>1 hồ sơ Q11 Chờ xem xét</t>
  </si>
  <si>
    <t>1. Tìm kiếm Mã tệp = Q11
2. Tick 1 hồ sơ
3. Click Xử lý hồ sơ</t>
  </si>
  <si>
    <t>Mở popup "Xử lý hồ sơ pháp lý tệp Q11" (BR-026)</t>
  </si>
  <si>
    <t>Kiểm tra xử lý đồng thời từ dải thao tác</t>
  </si>
  <si>
    <t>N ≥ 2</t>
  </si>
  <si>
    <t>2 hồ sơ D11 Chờ xem xét</t>
  </si>
  <si>
    <t>1. Mở màn hình "Danh sách hồ sơ pháp lý", chọn Loại KH = Cá nhân, Mã đầu mối = 31358001, Mã tệp = D11, click Tìm kiếm
2. Tick 2 hồ sơ
3. Click Xử lý hồ sơ</t>
  </si>
  <si>
    <t>Mở màn hình "Xử lý đồng thời hồ sơ pháp lý" với 2 hồ sơ đã chọn (BR-026)</t>
  </si>
  <si>
    <t>Kiểm tra trạng thái danh sách sau khi xử lý và quay về</t>
  </si>
  <si>
    <t>Quay về màn hình "Danh sách hồ sơ pháp lý" sau Cập nhật thành công</t>
  </si>
  <si>
    <t>Đang ở trang 3</t>
  </si>
  <si>
    <t>1. Mở màn hình "Danh sách hồ sơ pháp lý", chọn Loại KH = Cá nhân, Mã đầu mối = 31358001, Mã tệp = D11, click Tìm kiếm
2. Sang trang 3
3. Xử lý 1 hồ sơ, Cập nhật thành công</t>
  </si>
  <si>
    <t>Quay về màn hình "Danh sách hồ sơ pháp lý" giữ bộ lọc và trang 3; danh sách tải lại, hồ sơ hiển thị Đã xử lý; lựa chọn bị xóa (assumption Q33)</t>
  </si>
  <si>
    <t>Kiểm tra tìm kiếm không thành công</t>
  </si>
  <si>
    <t>Kiểm tra tìm kiếm khi thiếu mã đầu mối</t>
  </si>
  <si>
    <t>Thiếu điều kiện bắt buộc</t>
  </si>
  <si>
    <t>Mã đầu mối trống</t>
  </si>
  <si>
    <t>1. Mở màn hình "Danh sách hồ sơ pháp lý"
2. Click Tìm kiếm</t>
  </si>
  <si>
    <t>Toast WAR_009 "Vui lòng chọn Loại khách hàng, Mã đầu mối, Mã tệp để tìm kiếm."; lưới giữ trạng thái chưa có dữ liệu (BR-013, AC#1)</t>
  </si>
  <si>
    <t>Kiểm tra mở màn hình chưa truy vấn dữ liệu</t>
  </si>
  <si>
    <t>Trạng thái khi chưa đủ điều kiện</t>
  </si>
  <si>
    <t>1. Mở màn hình "Danh sách hồ sơ pháp lý"</t>
  </si>
  <si>
    <t>Không truy vấn dữ liệu; lưới hiển thị "Chưa có dữ liệu. Vui lòng chọn tiêu chí tìm kiếm." (BR-013)</t>
  </si>
  <si>
    <t>Kiểm tra từ ngày cập nhật lớn hơn đến ngày cập nhật</t>
  </si>
  <si>
    <t>Khoảng ngày sai</t>
  </si>
  <si>
    <t>ERR_003 "Từ ngày phải nhỏ hơn hoặc bằng Đến ngày."; giữ nguyên điều kiện, không tìm kiếm (BR-018, AC#2)</t>
  </si>
  <si>
    <t>Kiểm tra từ ngày báo cáo lớn hơn đến ngày báo cáo</t>
  </si>
  <si>
    <t>Từ 31/08/2025, Đến 30/08/2025</t>
  </si>
  <si>
    <t>ERR_003 tại cặp ngày báo cáo; không tìm kiếm</t>
  </si>
  <si>
    <t>Kiểm tra tìm kiếm khi API lỗi</t>
  </si>
  <si>
    <t>Tra cứu thất bại — API lỗi</t>
  </si>
  <si>
    <t>Giả lập API tìm kiếm trả lỗi 500 / mất kết nối</t>
  </si>
  <si>
    <t>1. Mở màn hình "Danh sách hồ sơ pháp lý"
2. Chọn điều kiện tìm kiếm
3. Click Tìm kiếm</t>
  </si>
  <si>
    <t>Hệ thống hiển thị thông báo "Đã có lỗi xảy ra. Vui lòng thử lại."; lưới không hiển thị dữ liệu sai, giữ nguyên điều kiện tìm kiếm (theo mẫu common1)</t>
  </si>
  <si>
    <t>Kiểm tra tìm kiếm khi API timeout</t>
  </si>
  <si>
    <t>Tra cứu thất bại — API timeout</t>
  </si>
  <si>
    <t>Giả lập API tìm kiếm phản hồi quá thời gian chờ</t>
  </si>
  <si>
    <t>Hiển thị loading trong thời gian chờ; hết thời gian hiển thị thông báo "Đã có lỗi xảy ra. Vui lòng thử lại."; UI không bị treo (theo mẫu common1)</t>
  </si>
  <si>
    <t>Kiểm tra tìm kiếm khi hết phiên đăng nhập</t>
  </si>
  <si>
    <t>Hết token đăng nhập</t>
  </si>
  <si>
    <t>Token phiên đăng nhập hết hạn</t>
  </si>
  <si>
    <t>1. Mở màn hình "Danh sách hồ sơ pháp lý"
2. Chọn điều kiện tìm kiếm
3. Chờ token hết hạn
4. Click Tìm kiếm</t>
  </si>
  <si>
    <t>Hết token đăng nhập, hệ thống điều hướng về màn hình đăng nhập (Login)</t>
  </si>
  <si>
    <t>Kiểm tra phân quyền</t>
  </si>
  <si>
    <t>Kiểm tra người dùng được phân quyền chức năng</t>
  </si>
  <si>
    <t>NSD có ROLE-CBTTXLDL</t>
  </si>
  <si>
    <t>cbxl01 (ROLE-CBTTXLDL, phân quyền TCTD 31358001 và 79202501)</t>
  </si>
  <si>
    <t>1. Đăng nhập
2. Mở menu Xử lý dữ liệu</t>
  </si>
  <si>
    <t>Thấy menu Hồ sơ pháp lý; truy cập và thao tác được màn hình "Danh sách hồ sơ pháp lý"</t>
  </si>
  <si>
    <t>Kiểm tra người dùng không được phân quyền chức năng</t>
  </si>
  <si>
    <t>NSD không có quyền</t>
  </si>
  <si>
    <t>nsd01 (không có quyền chức năng Hồ sơ pháp lý)</t>
  </si>
  <si>
    <t>Không hiển thị menu Hồ sơ pháp lý (BR-001)</t>
  </si>
  <si>
    <t>Kiểm tra truy cập trực tiếp bằng đường dẫn khi không có quyền</t>
  </si>
  <si>
    <t>URL trực tiếp</t>
  </si>
  <si>
    <t>1. Đăng nhập
2. Dán URL của màn hình "Danh sách hồ sơ pháp lý" vào trình duyệt</t>
  </si>
  <si>
    <t>Toast ERR_011 "Người dùng không được phân quyền."; không hiển thị dữ liệu, ở lại trang (Q38)</t>
  </si>
  <si>
    <t>Kiểm tra người dùng có vai trò nhưng chưa được phân quyền TCTD</t>
  </si>
  <si>
    <t>ROLE + 0 TCTD</t>
  </si>
  <si>
    <t>cbxl03 (ROLE-CBTTXLDL, chưa được phân quyền TCTD nào)</t>
  </si>
  <si>
    <t>1. Đăng nhập
2. Mở màn hình "Danh sách hồ sơ pháp lý"
3. Mở Mã đầu mối</t>
  </si>
  <si>
    <t>Menu hiển thị; danh sách Mã đầu mối rỗng, không tra cứu được dữ liệu (Q38)</t>
  </si>
  <si>
    <t>Kiểm tra gợi ý mã đầu mối chỉ thuộc TCTD được phân quyền</t>
  </si>
  <si>
    <t>Phạm vi dữ liệu Mã đầu mối</t>
  </si>
  <si>
    <t>Gõ '01201001'</t>
  </si>
  <si>
    <t>1. Mở màn hình "Danh sách hồ sơ pháp lý"
2. Gõ '01201001' vào Mã đầu mối</t>
  </si>
  <si>
    <t>Không có gợi ý 01201001; chỉ gợi ý 31358001, 79202501 (BR-014, Q21)</t>
  </si>
  <si>
    <t>Kiểm tra chỉ thấy hồ sơ của TCTD được phân quyền</t>
  </si>
  <si>
    <t>Phạm vi dữ liệu tra cứu và xuất</t>
  </si>
  <si>
    <t>cbxl02 chỉ có 31358001</t>
  </si>
  <si>
    <t>1. Đăng nhập cbxl02
2. Tìm kiếm
3. Xuất theo bộ lọc</t>
  </si>
  <si>
    <t>Danh sách và tệp xuất chỉ chứa hồ sơ của 31358001 (Ma trận phân quyền, Q21)</t>
  </si>
  <si>
    <t xml:space="preserve">Pre-condition:
- Đăng nhập tài khoản cbxl01 (ROLE-CBTTXLDL, phân quyền TCTD 31358001 và 79202501)
- Menu: Thu thập và xử lý dữ liệu &gt; Xử lý dữ liệu &gt; Hồ sơ pháp lý
- Kho tiền dữ liệu có hồ sơ pháp lý hợp lệ tệp D10, D11, Q11 của cả KH Cá nhân và Tổ chức, ở đủ 4 trạng thái Chờ cấp mã / Chờ xem xét / Đã xử lý / Từ chối
</t>
  </si>
  <si>
    <t>Hiển thị popup "Xem chi tiết hồ sơ pháp lý tệp D10/D11" khi mở</t>
  </si>
  <si>
    <t>1. Tại màn hình "Danh sách hồ sơ pháp lý" (Cá nhân, 31358001, D11) mở menu Thao tác → Xem của hồ sơ cá nhân
2. Quan sát popup "Xem chi tiết hồ sơ pháp lý tệp D10/D11"</t>
  </si>
  <si>
    <t>Popup "Xem chi tiết hồ sơ pháp lý tệp D10/D11" hiển thị:
- 2 tab: Thông tin hồ sơ (đang chọn), Lịch sử cập nhật
- Thẻ: Tên khách hàng, Đầu mối báo cáo, Mã khách hàng, Loại khách hàng, Nhóm khách hàng, Mã CIC, Trạng thái (badge), Lý do (khi Đã xử lý/Từ chối), Tên tệp
- Nhóm Thông tin khai báo chung: KB001, KB002, KB003, KB004
- Các nhóm chỉ tiêu theo Loại khách hàng
- Nút Đóng</t>
  </si>
  <si>
    <t>1. Tại màn hình "Danh sách hồ sơ pháp lý" (Cá nhân, 31358001, D11) mở menu Thao tác → Xem của hồ sơ cá nhân
2. Quan sát toàn bộ label, control, button</t>
  </si>
  <si>
    <t>1. Tại màn hình "Danh sách hồ sơ pháp lý" (Cá nhân, 31358001, D11) mở menu Thao tác → Xem của hồ sơ cá nhân
2. Nhấn phím Tab liên tục</t>
  </si>
  <si>
    <t>Con trỏ di chuyển lần lượt: Tab Thông tin hồ sơ → Tab Lịch sử cập nhật → vùng nội dung → nút Đóng</t>
  </si>
  <si>
    <t>1. Tại màn hình "Danh sách hồ sơ pháp lý" (Cá nhân, 31358001, D11) mở menu Thao tác → Xem của hồ sơ cá nhân
2. Focus control cuối cùng
3. Nhấn Shift+Tab liên tục</t>
  </si>
  <si>
    <t>1. Tại màn hình "Danh sách hồ sơ pháp lý" (Cá nhân, 31358001, D11) mở menu Thao tác → Xem của hồ sơ cá nhân
2. Focus control
3. Nhấn phím Enter</t>
  </si>
  <si>
    <t>Focus nút Đóng và nhấn Enter → đóng popup; focus tab và nhấn Enter → chuyển tab</t>
  </si>
  <si>
    <t>1. Tại màn hình "Danh sách hồ sơ pháp lý" (Cá nhân, 31358001, D11) mở menu Thao tác → Xem của hồ sơ cá nhân
2. Nhấn Ctrl+− / Ctrl+= để đổi mức zoom</t>
  </si>
  <si>
    <t>1. Tại màn hình "Danh sách hồ sơ pháp lý" (Cá nhân, 31358001, D11) mở menu Thao tác → Xem của hồ sơ cá nhân
2. Rà các nhãn, giá trị có từ viết tắt</t>
  </si>
  <si>
    <t>Kiểm tra title Xem chi tiết hồ sơ pháp lý</t>
  </si>
  <si>
    <t>1. Tại màn hình "Danh sách hồ sơ pháp lý" (Cá nhân, 31358001, D11) mở menu Thao tác → Xem của hồ sơ cá nhân
2. Kiểm tra hiển thị title</t>
  </si>
  <si>
    <t>Title cố định mặc định: "Xem chi tiết hồ sơ pháp lý"</t>
  </si>
  <si>
    <t>1. Tại màn hình "Danh sách hồ sơ pháp lý" (Cá nhân, 31358001, D11) mở menu Thao tác → Xem của hồ sơ cá nhân
2. Click / thử nhập vào title</t>
  </si>
  <si>
    <t>Kiểm tra Tabs</t>
  </si>
  <si>
    <t>Kiểm tra tab mặc định</t>
  </si>
  <si>
    <t>Tab mở sẵn khi vào màn</t>
  </si>
  <si>
    <t>1. Tại màn hình "Danh sách hồ sơ pháp lý" (Cá nhân, 31358001, D11) mở menu Thao tác → Xem của hồ sơ cá nhân</t>
  </si>
  <si>
    <t>Tab Thông tin hồ sơ được chọn mặc định (BR-028, AC#1)</t>
  </si>
  <si>
    <t>Kiểm tra chuyển sang tab lịch sử cập nhật</t>
  </si>
  <si>
    <t>Click tab Lịch sử cập nhật</t>
  </si>
  <si>
    <t>1. Tại màn hình "Danh sách hồ sơ pháp lý" (Cá nhân, 31358001, D11) mở menu Thao tác → Xem của hồ sơ cá nhân
2. Click tab Lịch sử cập nhật</t>
  </si>
  <si>
    <t>Hiển thị bảng lịch sử của khách hàng; tab được highlight</t>
  </si>
  <si>
    <t>Kiểm tra quay lại tab thông tin hồ sơ</t>
  </si>
  <si>
    <t>Click lại tab Thông tin hồ sơ</t>
  </si>
  <si>
    <t>1. Tại màn hình "Danh sách hồ sơ pháp lý" (Cá nhân, 31358001, D11) mở menu Thao tác → Xem của hồ sơ cá nhân, chọn tab Lịch sử cập nhật
2. Click tab Thông tin hồ sơ</t>
  </si>
  <si>
    <t>Hiển thị lại thông tin hồ sơ, không tải lại popup (ALT-01)</t>
  </si>
  <si>
    <t>Kiểm tra chuyển tab bằng bàn phím</t>
  </si>
  <si>
    <t>Ctrl+Tab / Ctrl+Shift+Tab</t>
  </si>
  <si>
    <t>1. Tại màn hình "Danh sách hồ sơ pháp lý" (Cá nhân, 31358001, D11) mở menu Thao tác → Xem của hồ sơ cá nhân
2. Nhấn Ctrl+Tab
3. Nhấn Ctrl+Shift+Tab</t>
  </si>
  <si>
    <t>Chuyển qua lại giữa 2 tab (Quy tắc component)</t>
  </si>
  <si>
    <t>Kiểm tra thẻ thông tin hồ sơ</t>
  </si>
  <si>
    <t>Kiểm tra hiển thị trường tên khách hàng</t>
  </si>
  <si>
    <t>Hiển thị Tên khách hàng</t>
  </si>
  <si>
    <t>1. Tại màn hình "Danh sách hồ sơ pháp lý" (Cá nhân, 31358001, D11) mở menu Thao tác → Xem của hồ sơ cá nhân
2. Quan sát Tên khách hàng</t>
  </si>
  <si>
    <t>Hiển thị nhãn "Tên khách hàng" và giá trị: TTC04; chỉ đọc</t>
  </si>
  <si>
    <t>Kiểm tra hiển thị trường đầu mối báo cáo</t>
  </si>
  <si>
    <t>Hiển thị Đầu mối báo cáo</t>
  </si>
  <si>
    <t>1. Tại màn hình "Danh sách hồ sơ pháp lý" (Cá nhân, 31358001, D11) mở menu Thao tác → Xem của hồ sơ cá nhân
2. Quan sát Đầu mối báo cáo</t>
  </si>
  <si>
    <t>Hiển thị nhãn "Đầu mối báo cáo" và giá trị: TTC00, hiển thị mã - tên (assumption Q37); chỉ đọc</t>
  </si>
  <si>
    <t>Kiểm tra hiển thị trường mã khách hàng</t>
  </si>
  <si>
    <t>Hiển thị Mã khách hàng</t>
  </si>
  <si>
    <t>1. Tại màn hình "Danh sách hồ sơ pháp lý" (Cá nhân, 31358001, D11) mở menu Thao tác → Xem của hồ sơ cá nhân
2. Quan sát Mã khách hàng</t>
  </si>
  <si>
    <t>Hiển thị nhãn "Mã khách hàng" và giá trị: TTC03; chỉ đọc</t>
  </si>
  <si>
    <t>Kiểm tra hiển thị trường loại khách hàng</t>
  </si>
  <si>
    <t>Hiển thị Loại khách hàng</t>
  </si>
  <si>
    <t>1. Tại màn hình "Danh sách hồ sơ pháp lý" (Cá nhân, 31358001, D11) mở menu Thao tác → Xem của hồ sơ cá nhân
2. Quan sát Loại khách hàng</t>
  </si>
  <si>
    <t>Hiển thị nhãn "Loại khách hàng" và giá trị: Cá nhân hoặc Tổ chức; chỉ đọc</t>
  </si>
  <si>
    <t>Kiểm tra hiển thị trường nhóm khách hàng</t>
  </si>
  <si>
    <t>Hiển thị Nhóm khách hàng</t>
  </si>
  <si>
    <t>1. Tại màn hình "Danh sách hồ sơ pháp lý" (Cá nhân, 31358001, D11) mở menu Thao tác → Xem của hồ sơ cá nhân
2. Quan sát Nhóm khách hàng</t>
  </si>
  <si>
    <t>Hiển thị nhãn "Nhóm khách hàng" và giá trị: Một trong 4 nhóm (BR-016); chỉ đọc</t>
  </si>
  <si>
    <t>Kiểm tra hiển thị trường mã cic</t>
  </si>
  <si>
    <t>Hiển thị Mã CIC</t>
  </si>
  <si>
    <t>1. Tại màn hình "Danh sách hồ sơ pháp lý" (Cá nhân, 31358001, D11) mở menu Thao tác → Xem của hồ sơ cá nhân
2. Quan sát Mã CIC</t>
  </si>
  <si>
    <t>Hiển thị nhãn "Mã CIC" và giá trị: Mã CIC nếu có; trống khi Chờ cấp mã; chỉ đọc</t>
  </si>
  <si>
    <t>Kiểm tra hiển thị trường tên tệp</t>
  </si>
  <si>
    <t>Hiển thị Tên tệp</t>
  </si>
  <si>
    <t>1. Tại màn hình "Danh sách hồ sơ pháp lý" (Cá nhân, 31358001, D11) mở menu Thao tác → Xem của hồ sơ cá nhân
2. Quan sát Tên tệp</t>
  </si>
  <si>
    <t>Hiển thị nhãn "Tên tệp" và giá trị: Giá trị đang lưu tại CSDL; chỉ đọc</t>
  </si>
  <si>
    <t>Kiểm tra hiển thị Lý do theo trạng thái</t>
  </si>
  <si>
    <t>Hồ sơ Đã xử lý do cán bộ cập nhật</t>
  </si>
  <si>
    <t>Lý do 'Đã đối chiếu với đơn vị'</t>
  </si>
  <si>
    <t>Hiển thị Lý do đang lưu (BR-029)</t>
  </si>
  <si>
    <t>Hồ sơ Từ chối</t>
  </si>
  <si>
    <t>Lý do 'Sai số CCCD'</t>
  </si>
  <si>
    <t>Hiển thị Lý do từ chối đang lưu (BR-029)</t>
  </si>
  <si>
    <t>Hồ sơ Chờ xem xét</t>
  </si>
  <si>
    <t>Không hiển thị trường Lý do (BR-029, AC#2)</t>
  </si>
  <si>
    <t>Hồ sơ Chờ cấp mã</t>
  </si>
  <si>
    <t>Không hiển thị trường Lý do (BR-029)</t>
  </si>
  <si>
    <t>Badge trạng thái trên thẻ</t>
  </si>
  <si>
    <t>Màu nhãn cùng tông với cột Trạng thái ở màn hình "Danh sách hồ sơ pháp lý" (xám/cam/xanh lá/đỏ)</t>
  </si>
  <si>
    <t>1. Tại màn hình "Danh sách hồ sơ pháp lý" (Cá nhân, 31358001, D11) mở menu Thao tác → Xem của hồ sơ cá nhân
2. Click badge</t>
  </si>
  <si>
    <t>Không đổi trạng thái</t>
  </si>
  <si>
    <t>Kiểm tra nhóm Thông tin khai báo chung</t>
  </si>
  <si>
    <t>Kiểm tra hiển thị chỉ tiêu khai báo chung</t>
  </si>
  <si>
    <t>Mã và giá trị các chỉ tiêu KB</t>
  </si>
  <si>
    <t>KB001, KB002, KB003, KB004</t>
  </si>
  <si>
    <t>1. Tại màn hình "Danh sách hồ sơ pháp lý" (Cá nhân, 31358001, D11) mở menu Thao tác → Xem của hồ sơ cá nhân
2. Quan sát nhóm Thông tin khai báo chung</t>
  </si>
  <si>
    <t>Hiển thị đủ KB001, KB002, KB003, KB004 với giá trị đang lưu tại CSDL (BR-028)</t>
  </si>
  <si>
    <t>Kiểm tra hiển thị từng chỉ tiêu nhóm Thông tin khai báo chung</t>
  </si>
  <si>
    <t>Chỉ tiêu KB001</t>
  </si>
  <si>
    <t>KB001</t>
  </si>
  <si>
    <t>1. Tại màn hình "Danh sách hồ sơ pháp lý" (Cá nhân, 31358001, D11) mở menu Thao tác → Xem của hồ sơ cá nhân
2. Quan sát dòng KB001
3. Hover vào mã KB001</t>
  </si>
  <si>
    <t>Hiển thị mã KB001 và giá trị đang lưu tại CSDL; tooltip đúng tên chỉ tiêu KB001 theo danh mục chỉ tiêu; chỉ đọc (BR-028, BR-030)</t>
  </si>
  <si>
    <t>Chỉ tiêu KB002</t>
  </si>
  <si>
    <t>KB002</t>
  </si>
  <si>
    <t>1. Tại màn hình "Danh sách hồ sơ pháp lý" (Cá nhân, 31358001, D11) mở menu Thao tác → Xem của hồ sơ cá nhân
2. Quan sát dòng KB002
3. Hover vào mã KB002</t>
  </si>
  <si>
    <t>Hiển thị mã KB002 và giá trị đang lưu tại CSDL; tooltip đúng tên chỉ tiêu KB002 theo danh mục chỉ tiêu; chỉ đọc (BR-028, BR-030)</t>
  </si>
  <si>
    <t>Chỉ tiêu KB003</t>
  </si>
  <si>
    <t>KB003</t>
  </si>
  <si>
    <t>1. Tại màn hình "Danh sách hồ sơ pháp lý" (Cá nhân, 31358001, D11) mở menu Thao tác → Xem của hồ sơ cá nhân
2. Quan sát dòng KB003
3. Hover vào mã KB003</t>
  </si>
  <si>
    <t>Hiển thị mã KB003 và giá trị đang lưu tại CSDL; tooltip đúng tên chỉ tiêu KB003 theo danh mục chỉ tiêu; chỉ đọc (BR-028, BR-030)</t>
  </si>
  <si>
    <t>Chỉ tiêu KB004</t>
  </si>
  <si>
    <t>KB004</t>
  </si>
  <si>
    <t>1. Tại màn hình "Danh sách hồ sơ pháp lý" (Cá nhân, 31358001, D11) mở menu Thao tác → Xem của hồ sơ cá nhân
2. Quan sát dòng KB004
3. Hover vào mã KB004</t>
  </si>
  <si>
    <t>Hiển thị mã KB004 và giá trị đang lưu tại CSDL; tooltip đúng tên chỉ tiêu KB004 theo danh mục chỉ tiêu; chỉ đọc (BR-028, BR-030)</t>
  </si>
  <si>
    <t>Kiểm tra nhóm chỉ tiêu khách hàng tổ chức</t>
  </si>
  <si>
    <t>Kiểm tra hiển thị nhóm thông tin định danh</t>
  </si>
  <si>
    <t>Nhóm "Thông tin định danh"</t>
  </si>
  <si>
    <t>TTC03, TTC04</t>
  </si>
  <si>
    <t>1. Tại màn hình "Danh sách hồ sơ pháp lý" (Tổ chức, 31358001, D11) mở menu Thao tác → Xem của hồ sơ tổ chức
2. Quan sát nhóm Thông tin định danh</t>
  </si>
  <si>
    <t>Hiển thị tiêu đề nhóm "Thông tin định danh" và đủ 2 chỉ tiêu TTC03, TTC04: mã chỉ tiêu + giá trị đang lưu; chỉ đọc (BR-028, BR-030)</t>
  </si>
  <si>
    <t>Kiểm tra hiển thị từng chỉ tiêu nhóm Thông tin định danh (tổ chức)</t>
  </si>
  <si>
    <t>Chỉ tiêu TTC03</t>
  </si>
  <si>
    <t>TTC03</t>
  </si>
  <si>
    <t>1. Tại màn hình "Danh sách hồ sơ pháp lý" (Tổ chức, 31358001, D11) mở menu Thao tác → Xem của hồ sơ tổ chức
2. Quan sát dòng TTC03
3. Hover vào mã TTC03</t>
  </si>
  <si>
    <t>Hiển thị mã TTC03 và giá trị đang lưu tại CSDL; tooltip đúng tên chỉ tiêu TTC03 theo danh mục chỉ tiêu; chỉ đọc (BR-028, BR-030)</t>
  </si>
  <si>
    <t>Chỉ tiêu TTC04</t>
  </si>
  <si>
    <t>TTC04</t>
  </si>
  <si>
    <t>1. Tại màn hình "Danh sách hồ sơ pháp lý" (Tổ chức, 31358001, D11) mở menu Thao tác → Xem của hồ sơ tổ chức
2. Quan sát dòng TTC04
3. Hover vào mã TTC04</t>
  </si>
  <si>
    <t>Hiển thị mã TTC04 và giá trị đang lưu tại CSDL; tooltip đúng tên chỉ tiêu TTC04 theo danh mục chỉ tiêu; chỉ đọc (BR-028, BR-030)</t>
  </si>
  <si>
    <t>Kiểm tra hiển thị nhóm thông tin chung</t>
  </si>
  <si>
    <t>Nhóm "Thông tin chung"</t>
  </si>
  <si>
    <t>TC001, TC002, TC003, TC004, TC005, TC006, TC007, TC008, TC009, TC010</t>
  </si>
  <si>
    <t>1. Tại màn hình "Danh sách hồ sơ pháp lý" (Tổ chức, 31358001, D11) mở menu Thao tác → Xem của hồ sơ tổ chức
2. Quan sát nhóm Thông tin chung</t>
  </si>
  <si>
    <t>Hiển thị tiêu đề nhóm "Thông tin chung" và đủ 10 chỉ tiêu TC001, TC002, TC003, TC004, TC005, TC006, TC007, TC008, TC009, TC010: mã chỉ tiêu + giá trị đang lưu; chỉ đọc (BR-028, BR-030)</t>
  </si>
  <si>
    <t>Kiểm tra hiển thị từng chỉ tiêu nhóm Thông tin chung (tổ chức)</t>
  </si>
  <si>
    <t>Chỉ tiêu TC001</t>
  </si>
  <si>
    <t>TC001</t>
  </si>
  <si>
    <t>1. Tại màn hình "Danh sách hồ sơ pháp lý" (Tổ chức, 31358001, D11) mở menu Thao tác → Xem của hồ sơ tổ chức
2. Quan sát dòng TC001
3. Hover vào mã TC001</t>
  </si>
  <si>
    <t>Hiển thị mã TC001 và giá trị đang lưu tại CSDL; tooltip đúng tên chỉ tiêu TC001 theo danh mục chỉ tiêu; chỉ đọc (BR-028, BR-030)</t>
  </si>
  <si>
    <t>Chỉ tiêu TC002</t>
  </si>
  <si>
    <t>TC002</t>
  </si>
  <si>
    <t>1. Tại màn hình "Danh sách hồ sơ pháp lý" (Tổ chức, 31358001, D11) mở menu Thao tác → Xem của hồ sơ tổ chức
2. Quan sát dòng TC002
3. Hover vào mã TC002</t>
  </si>
  <si>
    <t>Hiển thị mã TC002 và giá trị đang lưu tại CSDL; tooltip đúng tên chỉ tiêu TC002 theo danh mục chỉ tiêu; chỉ đọc (BR-028, BR-030)</t>
  </si>
  <si>
    <t>Chỉ tiêu TC003</t>
  </si>
  <si>
    <t>TC003</t>
  </si>
  <si>
    <t>1. Tại màn hình "Danh sách hồ sơ pháp lý" (Tổ chức, 31358001, D11) mở menu Thao tác → Xem của hồ sơ tổ chức
2. Quan sát dòng TC003
3. Hover vào mã TC003</t>
  </si>
  <si>
    <t>Hiển thị mã TC003 và giá trị đang lưu tại CSDL; tooltip đúng tên chỉ tiêu TC003 theo danh mục chỉ tiêu; chỉ đọc (BR-028, BR-030)</t>
  </si>
  <si>
    <t>Chỉ tiêu TC004</t>
  </si>
  <si>
    <t>TC004</t>
  </si>
  <si>
    <t>1. Tại màn hình "Danh sách hồ sơ pháp lý" (Tổ chức, 31358001, D11) mở menu Thao tác → Xem của hồ sơ tổ chức
2. Quan sát dòng TC004
3. Hover vào mã TC004</t>
  </si>
  <si>
    <t>Hiển thị mã TC004 và giá trị đang lưu tại CSDL; tooltip đúng tên chỉ tiêu TC004 theo danh mục chỉ tiêu; chỉ đọc (BR-028, BR-030)</t>
  </si>
  <si>
    <t>Chỉ tiêu TC005</t>
  </si>
  <si>
    <t>TC005</t>
  </si>
  <si>
    <t>1. Tại màn hình "Danh sách hồ sơ pháp lý" (Tổ chức, 31358001, D11) mở menu Thao tác → Xem của hồ sơ tổ chức
2. Quan sát dòng TC005
3. Hover vào mã TC005</t>
  </si>
  <si>
    <t>Hiển thị mã TC005 và giá trị đang lưu tại CSDL; tooltip đúng tên chỉ tiêu TC005 theo danh mục chỉ tiêu; chỉ đọc (BR-028, BR-030)</t>
  </si>
  <si>
    <t>Chỉ tiêu TC006</t>
  </si>
  <si>
    <t>TC006</t>
  </si>
  <si>
    <t>1. Tại màn hình "Danh sách hồ sơ pháp lý" (Tổ chức, 31358001, D11) mở menu Thao tác → Xem của hồ sơ tổ chức
2. Quan sát dòng TC006
3. Hover vào mã TC006</t>
  </si>
  <si>
    <t>Hiển thị mã TC006 và giá trị đang lưu tại CSDL; tooltip đúng tên chỉ tiêu TC006 theo danh mục chỉ tiêu; chỉ đọc (BR-028, BR-030)</t>
  </si>
  <si>
    <t>Chỉ tiêu TC007</t>
  </si>
  <si>
    <t>TC007</t>
  </si>
  <si>
    <t>1. Tại màn hình "Danh sách hồ sơ pháp lý" (Tổ chức, 31358001, D11) mở menu Thao tác → Xem của hồ sơ tổ chức
2. Quan sát dòng TC007
3. Hover vào mã TC007</t>
  </si>
  <si>
    <t>Hiển thị mã TC007 và giá trị đang lưu tại CSDL; tooltip đúng tên chỉ tiêu TC007 theo danh mục chỉ tiêu; chỉ đọc (BR-028, BR-030)</t>
  </si>
  <si>
    <t>Chỉ tiêu TC008</t>
  </si>
  <si>
    <t>TC008</t>
  </si>
  <si>
    <t>1. Tại màn hình "Danh sách hồ sơ pháp lý" (Tổ chức, 31358001, D11) mở menu Thao tác → Xem của hồ sơ tổ chức
2. Quan sát dòng TC008
3. Hover vào mã TC008</t>
  </si>
  <si>
    <t>Hiển thị mã TC008 và giá trị đang lưu tại CSDL; tooltip đúng tên chỉ tiêu TC008 theo danh mục chỉ tiêu; chỉ đọc (BR-028, BR-030)</t>
  </si>
  <si>
    <t>Chỉ tiêu TC009</t>
  </si>
  <si>
    <t>TC009</t>
  </si>
  <si>
    <t>1. Tại màn hình "Danh sách hồ sơ pháp lý" (Tổ chức, 31358001, D11) mở menu Thao tác → Xem của hồ sơ tổ chức
2. Quan sát dòng TC009
3. Hover vào mã TC009</t>
  </si>
  <si>
    <t>Hiển thị mã TC009 và giá trị đang lưu tại CSDL; tooltip đúng tên chỉ tiêu TC009 theo danh mục chỉ tiêu; chỉ đọc (BR-028, BR-030)</t>
  </si>
  <si>
    <t>Chỉ tiêu TC010</t>
  </si>
  <si>
    <t>TC010</t>
  </si>
  <si>
    <t>1. Tại màn hình "Danh sách hồ sơ pháp lý" (Tổ chức, 31358001, D11) mở menu Thao tác → Xem của hồ sơ tổ chức
2. Quan sát dòng TC010
3. Hover vào mã TC010</t>
  </si>
  <si>
    <t>Hiển thị mã TC010 và giá trị đang lưu tại CSDL; tooltip đúng tên chỉ tiêu TC010 theo danh mục chỉ tiêu; chỉ đọc (BR-028, BR-030)</t>
  </si>
  <si>
    <t>Kiểm tra hiển thị nhóm thông tin pháp lý</t>
  </si>
  <si>
    <t>Nhóm "Thông tin pháp lý"</t>
  </si>
  <si>
    <t>TC011, TC012, TC013, TC014, TC015, TC016</t>
  </si>
  <si>
    <t>1. Tại màn hình "Danh sách hồ sơ pháp lý" (Tổ chức, 31358001, D11) mở menu Thao tác → Xem của hồ sơ tổ chức
2. Quan sát nhóm Thông tin pháp lý</t>
  </si>
  <si>
    <t>Hiển thị tiêu đề nhóm "Thông tin pháp lý" và đủ 6 chỉ tiêu TC011, TC012, TC013, TC014, TC015, TC016: mã chỉ tiêu + giá trị đang lưu; chỉ đọc (BR-028, BR-030)</t>
  </si>
  <si>
    <t>Kiểm tra hiển thị từng chỉ tiêu nhóm Thông tin pháp lý (tổ chức)</t>
  </si>
  <si>
    <t>Chỉ tiêu TC011</t>
  </si>
  <si>
    <t>TC011</t>
  </si>
  <si>
    <t>1. Tại màn hình "Danh sách hồ sơ pháp lý" (Tổ chức, 31358001, D11) mở menu Thao tác → Xem của hồ sơ tổ chức
2. Quan sát dòng TC011
3. Hover vào mã TC011</t>
  </si>
  <si>
    <t>Hiển thị mã TC011 và giá trị đang lưu tại CSDL; tooltip đúng tên chỉ tiêu TC011 theo danh mục chỉ tiêu; chỉ đọc (BR-028, BR-030)</t>
  </si>
  <si>
    <t>Chỉ tiêu TC012</t>
  </si>
  <si>
    <t>TC012</t>
  </si>
  <si>
    <t>1. Tại màn hình "Danh sách hồ sơ pháp lý" (Tổ chức, 31358001, D11) mở menu Thao tác → Xem của hồ sơ tổ chức
2. Quan sát dòng TC012
3. Hover vào mã TC012</t>
  </si>
  <si>
    <t>Hiển thị mã TC012 và giá trị đang lưu tại CSDL; tooltip đúng tên chỉ tiêu TC012 theo danh mục chỉ tiêu; chỉ đọc (BR-028, BR-030)</t>
  </si>
  <si>
    <t>Chỉ tiêu TC013</t>
  </si>
  <si>
    <t>TC013</t>
  </si>
  <si>
    <t>1. Tại màn hình "Danh sách hồ sơ pháp lý" (Tổ chức, 31358001, D11) mở menu Thao tác → Xem của hồ sơ tổ chức
2. Quan sát dòng TC013
3. Hover vào mã TC013</t>
  </si>
  <si>
    <t>Hiển thị mã TC013 và giá trị đang lưu tại CSDL; tooltip đúng tên chỉ tiêu TC013 theo danh mục chỉ tiêu; chỉ đọc (BR-028, BR-030)</t>
  </si>
  <si>
    <t>Chỉ tiêu TC014</t>
  </si>
  <si>
    <t>TC014</t>
  </si>
  <si>
    <t>1. Tại màn hình "Danh sách hồ sơ pháp lý" (Tổ chức, 31358001, D11) mở menu Thao tác → Xem của hồ sơ tổ chức
2. Quan sát dòng TC014
3. Hover vào mã TC014</t>
  </si>
  <si>
    <t>Hiển thị mã TC014 và giá trị đang lưu tại CSDL; tooltip đúng tên chỉ tiêu TC014 theo danh mục chỉ tiêu; chỉ đọc (BR-028, BR-030)</t>
  </si>
  <si>
    <t>Chỉ tiêu TC015</t>
  </si>
  <si>
    <t>TC015</t>
  </si>
  <si>
    <t>1. Tại màn hình "Danh sách hồ sơ pháp lý" (Tổ chức, 31358001, D11) mở menu Thao tác → Xem của hồ sơ tổ chức
2. Quan sát dòng TC015
3. Hover vào mã TC015</t>
  </si>
  <si>
    <t>Hiển thị mã TC015 và giá trị đang lưu tại CSDL; tooltip đúng tên chỉ tiêu TC015 theo danh mục chỉ tiêu; chỉ đọc (BR-028, BR-030)</t>
  </si>
  <si>
    <t>Chỉ tiêu TC016</t>
  </si>
  <si>
    <t>TC016</t>
  </si>
  <si>
    <t>1. Tại màn hình "Danh sách hồ sơ pháp lý" (Tổ chức, 31358001, D11) mở menu Thao tác → Xem của hồ sơ tổ chức
2. Quan sát dòng TC016
3. Hover vào mã TC016</t>
  </si>
  <si>
    <t>Hiển thị mã TC016 và giá trị đang lưu tại CSDL; tooltip đúng tên chỉ tiêu TC016 theo danh mục chỉ tiêu; chỉ đọc (BR-028, BR-030)</t>
  </si>
  <si>
    <t>Kiểm tra hiển thị nhóm loại hình &amp; ngành nghề</t>
  </si>
  <si>
    <t>Nhóm "Loại hình &amp; ngành nghề"</t>
  </si>
  <si>
    <t>TC017, TC018</t>
  </si>
  <si>
    <t>1. Tại màn hình "Danh sách hồ sơ pháp lý" (Tổ chức, 31358001, D11) mở menu Thao tác → Xem của hồ sơ tổ chức
2. Quan sát nhóm Loại hình &amp; ngành nghề</t>
  </si>
  <si>
    <t>Hiển thị tiêu đề nhóm "Loại hình &amp; ngành nghề" và đủ 2 chỉ tiêu TC017, TC018: mã chỉ tiêu + giá trị đang lưu; chỉ đọc (BR-028, BR-030)</t>
  </si>
  <si>
    <t>Kiểm tra hiển thị từng chỉ tiêu nhóm Loại hình &amp; ngành nghề (tổ chức)</t>
  </si>
  <si>
    <t>Chỉ tiêu TC017</t>
  </si>
  <si>
    <t>TC017</t>
  </si>
  <si>
    <t>1. Tại màn hình "Danh sách hồ sơ pháp lý" (Tổ chức, 31358001, D11) mở menu Thao tác → Xem của hồ sơ tổ chức
2. Quan sát dòng TC017
3. Hover vào mã TC017</t>
  </si>
  <si>
    <t>Hiển thị mã TC017 và giá trị đang lưu tại CSDL; tooltip đúng tên chỉ tiêu TC017 theo danh mục chỉ tiêu; chỉ đọc (BR-028, BR-030)</t>
  </si>
  <si>
    <t>Chỉ tiêu TC018</t>
  </si>
  <si>
    <t>TC018</t>
  </si>
  <si>
    <t>1. Tại màn hình "Danh sách hồ sơ pháp lý" (Tổ chức, 31358001, D11) mở menu Thao tác → Xem của hồ sơ tổ chức
2. Quan sát dòng TC018
3. Hover vào mã TC018</t>
  </si>
  <si>
    <t>Hiển thị mã TC018 và giá trị đang lưu tại CSDL; tooltip đúng tên chỉ tiêu TC018 theo danh mục chỉ tiêu; chỉ đọc (BR-028, BR-030)</t>
  </si>
  <si>
    <t>Kiểm tra hiển thị nhóm tổng giám đốc/giám đốc</t>
  </si>
  <si>
    <t>Nhóm "Tổng giám đốc/Giám đốc"</t>
  </si>
  <si>
    <t>TC019, TC020, TC021</t>
  </si>
  <si>
    <t>1. Tại màn hình "Danh sách hồ sơ pháp lý" (Tổ chức, 31358001, D11) mở menu Thao tác → Xem của hồ sơ tổ chức
2. Quan sát nhóm Tổng giám đốc/Giám đốc</t>
  </si>
  <si>
    <t>Hiển thị tiêu đề nhóm "Tổng giám đốc/Giám đốc" và đủ 3 chỉ tiêu TC019, TC020, TC021: mã chỉ tiêu + giá trị đang lưu; chỉ đọc (BR-028, BR-030)</t>
  </si>
  <si>
    <t>Kiểm tra hiển thị từng chỉ tiêu nhóm Tổng giám đốc/Giám đốc (tổ chức)</t>
  </si>
  <si>
    <t>Chỉ tiêu TC019</t>
  </si>
  <si>
    <t>TC019</t>
  </si>
  <si>
    <t>1. Tại màn hình "Danh sách hồ sơ pháp lý" (Tổ chức, 31358001, D11) mở menu Thao tác → Xem của hồ sơ tổ chức
2. Quan sát dòng TC019
3. Hover vào mã TC019</t>
  </si>
  <si>
    <t>Hiển thị mã TC019 và giá trị đang lưu tại CSDL; tooltip đúng tên chỉ tiêu TC019 theo danh mục chỉ tiêu; chỉ đọc (BR-028, BR-030)</t>
  </si>
  <si>
    <t>Chỉ tiêu TC020</t>
  </si>
  <si>
    <t>TC020</t>
  </si>
  <si>
    <t>1. Tại màn hình "Danh sách hồ sơ pháp lý" (Tổ chức, 31358001, D11) mở menu Thao tác → Xem của hồ sơ tổ chức
2. Quan sát dòng TC020
3. Hover vào mã TC020</t>
  </si>
  <si>
    <t>Hiển thị mã TC020 và giá trị đang lưu tại CSDL; tooltip đúng tên chỉ tiêu TC020 theo danh mục chỉ tiêu; chỉ đọc (BR-028, BR-030)</t>
  </si>
  <si>
    <t>Chỉ tiêu TC021</t>
  </si>
  <si>
    <t>TC021</t>
  </si>
  <si>
    <t>1. Tại màn hình "Danh sách hồ sơ pháp lý" (Tổ chức, 31358001, D11) mở menu Thao tác → Xem của hồ sơ tổ chức
2. Quan sát dòng TC021
3. Hover vào mã TC021</t>
  </si>
  <si>
    <t>Hiển thị mã TC021 và giá trị đang lưu tại CSDL; tooltip đúng tên chỉ tiêu TC021 theo danh mục chỉ tiêu; chỉ đọc (BR-028, BR-030)</t>
  </si>
  <si>
    <t>Kiểm tra hiển thị nhóm thông tin thành viên</t>
  </si>
  <si>
    <t>Nhóm "Thông tin thành viên"</t>
  </si>
  <si>
    <t>TC022, TC023</t>
  </si>
  <si>
    <t>1. Tại màn hình "Danh sách hồ sơ pháp lý" (Tổ chức, 31358001, D11) mở menu Thao tác → Xem của hồ sơ tổ chức
2. Quan sát nhóm Thông tin thành viên</t>
  </si>
  <si>
    <t>Hiển thị tiêu đề nhóm "Thông tin thành viên" và đủ 2 chỉ tiêu TC022, TC023: mã chỉ tiêu + giá trị đang lưu; chỉ đọc (BR-028, BR-030)</t>
  </si>
  <si>
    <t>Kiểm tra hiển thị từng chỉ tiêu nhóm Thông tin thành viên (tổ chức)</t>
  </si>
  <si>
    <t>Chỉ tiêu TC022</t>
  </si>
  <si>
    <t>TC022</t>
  </si>
  <si>
    <t>1. Tại màn hình "Danh sách hồ sơ pháp lý" (Tổ chức, 31358001, D11) mở menu Thao tác → Xem của hồ sơ tổ chức
2. Quan sát dòng TC022
3. Hover vào mã TC022</t>
  </si>
  <si>
    <t>Hiển thị mã TC022 và giá trị đang lưu tại CSDL; tooltip đúng tên chỉ tiêu TC022 theo danh mục chỉ tiêu; chỉ đọc (BR-028, BR-030)</t>
  </si>
  <si>
    <t>Chỉ tiêu TC023</t>
  </si>
  <si>
    <t>TC023</t>
  </si>
  <si>
    <t>1. Tại màn hình "Danh sách hồ sơ pháp lý" (Tổ chức, 31358001, D11) mở menu Thao tác → Xem của hồ sơ tổ chức
2. Quan sát dòng TC023
3. Hover vào mã TC023</t>
  </si>
  <si>
    <t>Hiển thị mã TC023 và giá trị đang lưu tại CSDL; tooltip đúng tên chỉ tiêu TC023 theo danh mục chỉ tiêu; chỉ đọc (BR-028, BR-030)</t>
  </si>
  <si>
    <t>Kiểm tra tooltip tên chỉ tiêu</t>
  </si>
  <si>
    <t>Di chuột vào mã chỉ tiêu</t>
  </si>
  <si>
    <t>1. Tại màn hình "Danh sách hồ sơ pháp lý" (Tổ chức, 31358001, D11) mở menu Thao tác → Xem của hồ sơ tổ chức
2. Hover vào mã TC001</t>
  </si>
  <si>
    <t>Hiển thị tooltip tên chỉ tiêu lấy từ danh mục chỉ tiêu (BR-030)</t>
  </si>
  <si>
    <t>Kiểm tra nhóm chỉ tiêu khách hàng cá nhân</t>
  </si>
  <si>
    <t>1. Tại màn hình "Danh sách hồ sơ pháp lý" (Cá nhân, 31358001, D11) mở menu Thao tác → Xem của hồ sơ cá nhân
2. Quan sát nhóm Thông tin định danh</t>
  </si>
  <si>
    <t>Kiểm tra hiển thị từng chỉ tiêu nhóm Thông tin định danh (cá nhân)</t>
  </si>
  <si>
    <t>1. Tại màn hình "Danh sách hồ sơ pháp lý" (Cá nhân, 31358001, D11) mở menu Thao tác → Xem của hồ sơ cá nhân
2. Quan sát dòng TTC03
3. Hover vào mã TTC03</t>
  </si>
  <si>
    <t>1. Tại màn hình "Danh sách hồ sơ pháp lý" (Cá nhân, 31358001, D11) mở menu Thao tác → Xem của hồ sơ cá nhân
2. Quan sát dòng TTC04
3. Hover vào mã TTC04</t>
  </si>
  <si>
    <t>CN001, CN002, CN003, CN004, CN005, CN006, CN007</t>
  </si>
  <si>
    <t>1. Tại màn hình "Danh sách hồ sơ pháp lý" (Cá nhân, 31358001, D11) mở menu Thao tác → Xem của hồ sơ cá nhân
2. Quan sát nhóm Thông tin chung</t>
  </si>
  <si>
    <t>Hiển thị tiêu đề nhóm "Thông tin chung" và đủ 7 chỉ tiêu CN001, CN002, CN003, CN004, CN005, CN006, CN007: mã chỉ tiêu + giá trị đang lưu; chỉ đọc (BR-028, BR-030)</t>
  </si>
  <si>
    <t>Kiểm tra hiển thị từng chỉ tiêu nhóm Thông tin chung (cá nhân)</t>
  </si>
  <si>
    <t>Chỉ tiêu CN001</t>
  </si>
  <si>
    <t>CN001</t>
  </si>
  <si>
    <t>1. Tại màn hình "Danh sách hồ sơ pháp lý" (Cá nhân, 31358001, D11) mở menu Thao tác → Xem của hồ sơ cá nhân
2. Quan sát dòng CN001
3. Hover vào mã CN001</t>
  </si>
  <si>
    <t>Hiển thị mã CN001 và giá trị đang lưu tại CSDL; tooltip đúng tên chỉ tiêu CN001 theo danh mục chỉ tiêu; chỉ đọc (BR-028, BR-030)</t>
  </si>
  <si>
    <t>Chỉ tiêu CN002</t>
  </si>
  <si>
    <t>CN002</t>
  </si>
  <si>
    <t>1. Tại màn hình "Danh sách hồ sơ pháp lý" (Cá nhân, 31358001, D11) mở menu Thao tác → Xem của hồ sơ cá nhân
2. Quan sát dòng CN002
3. Hover vào mã CN002</t>
  </si>
  <si>
    <t>Hiển thị mã CN002 và giá trị đang lưu tại CSDL; tooltip đúng tên chỉ tiêu CN002 theo danh mục chỉ tiêu; chỉ đọc (BR-028, BR-030)</t>
  </si>
  <si>
    <t>Chỉ tiêu CN003</t>
  </si>
  <si>
    <t>CN003</t>
  </si>
  <si>
    <t>1. Tại màn hình "Danh sách hồ sơ pháp lý" (Cá nhân, 31358001, D11) mở menu Thao tác → Xem của hồ sơ cá nhân
2. Quan sát dòng CN003
3. Hover vào mã CN003</t>
  </si>
  <si>
    <t>Hiển thị mã CN003 và giá trị đang lưu tại CSDL; tooltip đúng tên chỉ tiêu CN003 theo danh mục chỉ tiêu; chỉ đọc (BR-028, BR-030)</t>
  </si>
  <si>
    <t>Chỉ tiêu CN004</t>
  </si>
  <si>
    <t>CN004</t>
  </si>
  <si>
    <t>1. Tại màn hình "Danh sách hồ sơ pháp lý" (Cá nhân, 31358001, D11) mở menu Thao tác → Xem của hồ sơ cá nhân
2. Quan sát dòng CN004
3. Hover vào mã CN004</t>
  </si>
  <si>
    <t>Hiển thị mã CN004 và giá trị đang lưu tại CSDL; tooltip đúng tên chỉ tiêu CN004 theo danh mục chỉ tiêu; chỉ đọc (BR-028, BR-030)</t>
  </si>
  <si>
    <t>Chỉ tiêu CN005</t>
  </si>
  <si>
    <t>CN005</t>
  </si>
  <si>
    <t>1. Tại màn hình "Danh sách hồ sơ pháp lý" (Cá nhân, 31358001, D11) mở menu Thao tác → Xem của hồ sơ cá nhân
2. Quan sát dòng CN005
3. Hover vào mã CN005</t>
  </si>
  <si>
    <t>Hiển thị mã CN005 và giá trị đang lưu tại CSDL; tooltip đúng tên chỉ tiêu CN005 theo danh mục chỉ tiêu; chỉ đọc (BR-028, BR-030)</t>
  </si>
  <si>
    <t>Chỉ tiêu CN006</t>
  </si>
  <si>
    <t>CN006</t>
  </si>
  <si>
    <t>1. Tại màn hình "Danh sách hồ sơ pháp lý" (Cá nhân, 31358001, D11) mở menu Thao tác → Xem của hồ sơ cá nhân
2. Quan sát dòng CN006
3. Hover vào mã CN006</t>
  </si>
  <si>
    <t>Hiển thị mã CN006 và giá trị đang lưu tại CSDL; tooltip đúng tên chỉ tiêu CN006 theo danh mục chỉ tiêu; chỉ đọc (BR-028, BR-030)</t>
  </si>
  <si>
    <t>Chỉ tiêu CN007</t>
  </si>
  <si>
    <t>CN007</t>
  </si>
  <si>
    <t>1. Tại màn hình "Danh sách hồ sơ pháp lý" (Cá nhân, 31358001, D11) mở menu Thao tác → Xem của hồ sơ cá nhân
2. Quan sát dòng CN007
3. Hover vào mã CN007</t>
  </si>
  <si>
    <t>Hiển thị mã CN007 và giá trị đang lưu tại CSDL; tooltip đúng tên chỉ tiêu CN007 theo danh mục chỉ tiêu; chỉ đọc (BR-028, BR-030)</t>
  </si>
  <si>
    <t>CN008, CN009, CN010, CN011, CN012, CN013, CN014, CN015</t>
  </si>
  <si>
    <t>1. Tại màn hình "Danh sách hồ sơ pháp lý" (Cá nhân, 31358001, D11) mở menu Thao tác → Xem của hồ sơ cá nhân
2. Quan sát nhóm Thông tin pháp lý</t>
  </si>
  <si>
    <t>Hiển thị tiêu đề nhóm "Thông tin pháp lý" và đủ 8 chỉ tiêu CN008, CN009, CN010, CN011, CN012, CN013, CN014, CN015: mã chỉ tiêu + giá trị đang lưu; chỉ đọc (BR-028, BR-030)</t>
  </si>
  <si>
    <t>Kiểm tra hiển thị từng chỉ tiêu nhóm Thông tin pháp lý (cá nhân)</t>
  </si>
  <si>
    <t>Chỉ tiêu CN008</t>
  </si>
  <si>
    <t>CN008</t>
  </si>
  <si>
    <t>1. Tại màn hình "Danh sách hồ sơ pháp lý" (Cá nhân, 31358001, D11) mở menu Thao tác → Xem của hồ sơ cá nhân
2. Quan sát dòng CN008
3. Hover vào mã CN008</t>
  </si>
  <si>
    <t>Hiển thị mã CN008 và giá trị đang lưu tại CSDL; tooltip đúng tên chỉ tiêu CN008 theo danh mục chỉ tiêu; chỉ đọc (BR-028, BR-030)</t>
  </si>
  <si>
    <t>Chỉ tiêu CN009</t>
  </si>
  <si>
    <t>CN009</t>
  </si>
  <si>
    <t>1. Tại màn hình "Danh sách hồ sơ pháp lý" (Cá nhân, 31358001, D11) mở menu Thao tác → Xem của hồ sơ cá nhân
2. Quan sát dòng CN009
3. Hover vào mã CN009</t>
  </si>
  <si>
    <t>Hiển thị mã CN009 và giá trị đang lưu tại CSDL; tooltip đúng tên chỉ tiêu CN009 theo danh mục chỉ tiêu; chỉ đọc (BR-028, BR-030)</t>
  </si>
  <si>
    <t>Chỉ tiêu CN010</t>
  </si>
  <si>
    <t>CN010</t>
  </si>
  <si>
    <t>1. Tại màn hình "Danh sách hồ sơ pháp lý" (Cá nhân, 31358001, D11) mở menu Thao tác → Xem của hồ sơ cá nhân
2. Quan sát dòng CN010
3. Hover vào mã CN010</t>
  </si>
  <si>
    <t>Hiển thị mã CN010 và giá trị đang lưu tại CSDL; tooltip đúng tên chỉ tiêu CN010 theo danh mục chỉ tiêu; chỉ đọc (BR-028, BR-030)</t>
  </si>
  <si>
    <t>Chỉ tiêu CN011</t>
  </si>
  <si>
    <t>CN011</t>
  </si>
  <si>
    <t>1. Tại màn hình "Danh sách hồ sơ pháp lý" (Cá nhân, 31358001, D11) mở menu Thao tác → Xem của hồ sơ cá nhân
2. Quan sát dòng CN011
3. Hover vào mã CN011</t>
  </si>
  <si>
    <t>Hiển thị mã CN011 và giá trị đang lưu tại CSDL; tooltip đúng tên chỉ tiêu CN011 theo danh mục chỉ tiêu; chỉ đọc (BR-028, BR-030)</t>
  </si>
  <si>
    <t>Chỉ tiêu CN012</t>
  </si>
  <si>
    <t>CN012</t>
  </si>
  <si>
    <t>1. Tại màn hình "Danh sách hồ sơ pháp lý" (Cá nhân, 31358001, D11) mở menu Thao tác → Xem của hồ sơ cá nhân
2. Quan sát dòng CN012
3. Hover vào mã CN012</t>
  </si>
  <si>
    <t>Hiển thị mã CN012 và giá trị đang lưu tại CSDL; tooltip đúng tên chỉ tiêu CN012 theo danh mục chỉ tiêu; chỉ đọc (BR-028, BR-030)</t>
  </si>
  <si>
    <t>Chỉ tiêu CN013</t>
  </si>
  <si>
    <t>CN013</t>
  </si>
  <si>
    <t>1. Tại màn hình "Danh sách hồ sơ pháp lý" (Cá nhân, 31358001, D11) mở menu Thao tác → Xem của hồ sơ cá nhân
2. Quan sát dòng CN013
3. Hover vào mã CN013</t>
  </si>
  <si>
    <t>Hiển thị mã CN013 và giá trị đang lưu tại CSDL; tooltip đúng tên chỉ tiêu CN013 theo danh mục chỉ tiêu; chỉ đọc (BR-028, BR-030)</t>
  </si>
  <si>
    <t>Chỉ tiêu CN014</t>
  </si>
  <si>
    <t>CN014</t>
  </si>
  <si>
    <t>1. Tại màn hình "Danh sách hồ sơ pháp lý" (Cá nhân, 31358001, D11) mở menu Thao tác → Xem của hồ sơ cá nhân
2. Quan sát dòng CN014
3. Hover vào mã CN014</t>
  </si>
  <si>
    <t>Hiển thị mã CN014 và giá trị đang lưu tại CSDL; tooltip đúng tên chỉ tiêu CN014 theo danh mục chỉ tiêu; chỉ đọc (BR-028, BR-030)</t>
  </si>
  <si>
    <t>Chỉ tiêu CN015</t>
  </si>
  <si>
    <t>CN015</t>
  </si>
  <si>
    <t>1. Tại màn hình "Danh sách hồ sơ pháp lý" (Cá nhân, 31358001, D11) mở menu Thao tác → Xem của hồ sơ cá nhân
2. Quan sát dòng CN015
3. Hover vào mã CN015</t>
  </si>
  <si>
    <t>Hiển thị mã CN015 và giá trị đang lưu tại CSDL; tooltip đúng tên chỉ tiêu CN015 theo danh mục chỉ tiêu; chỉ đọc (BR-028, BR-030)</t>
  </si>
  <si>
    <t>Kiểm tra hiển thị nhóm thông tin vợ/chồng</t>
  </si>
  <si>
    <t>Nhóm "Thông tin vợ/chồng"</t>
  </si>
  <si>
    <t>CN016, CN017</t>
  </si>
  <si>
    <t>1. Tại màn hình "Danh sách hồ sơ pháp lý" (Cá nhân, 31358001, D11) mở menu Thao tác → Xem của hồ sơ cá nhân
2. Quan sát nhóm Thông tin vợ/chồng</t>
  </si>
  <si>
    <t>Hiển thị tiêu đề nhóm "Thông tin vợ/chồng" và đủ 2 chỉ tiêu CN016, CN017: mã chỉ tiêu + giá trị đang lưu; chỉ đọc (BR-028, BR-030)</t>
  </si>
  <si>
    <t>Kiểm tra hiển thị từng chỉ tiêu nhóm Thông tin vợ/chồng (cá nhân)</t>
  </si>
  <si>
    <t>Chỉ tiêu CN016</t>
  </si>
  <si>
    <t>CN016</t>
  </si>
  <si>
    <t>1. Tại màn hình "Danh sách hồ sơ pháp lý" (Cá nhân, 31358001, D11) mở menu Thao tác → Xem của hồ sơ cá nhân
2. Quan sát dòng CN016
3. Hover vào mã CN016</t>
  </si>
  <si>
    <t>Hiển thị mã CN016 và giá trị đang lưu tại CSDL; tooltip đúng tên chỉ tiêu CN016 theo danh mục chỉ tiêu; chỉ đọc (BR-028, BR-030)</t>
  </si>
  <si>
    <t>Chỉ tiêu CN017</t>
  </si>
  <si>
    <t>CN017</t>
  </si>
  <si>
    <t>1. Tại màn hình "Danh sách hồ sơ pháp lý" (Cá nhân, 31358001, D11) mở menu Thao tác → Xem của hồ sơ cá nhân
2. Quan sát dòng CN017
3. Hover vào mã CN017</t>
  </si>
  <si>
    <t>Hiển thị mã CN017 và giá trị đang lưu tại CSDL; tooltip đúng tên chỉ tiêu CN017 theo danh mục chỉ tiêu; chỉ đọc (BR-028, BR-030)</t>
  </si>
  <si>
    <t>Kiểm tra hiển thị nhóm thông tin nghề nghiệp và thu nhập</t>
  </si>
  <si>
    <t>Nhóm "Thông tin nghề nghiệp và thu nhập"</t>
  </si>
  <si>
    <t>CN018, CN019, CN020, CN021</t>
  </si>
  <si>
    <t>1. Tại màn hình "Danh sách hồ sơ pháp lý" (Cá nhân, 31358001, D11) mở menu Thao tác → Xem của hồ sơ cá nhân
2. Quan sát nhóm Thông tin nghề nghiệp và thu nhập</t>
  </si>
  <si>
    <t>Hiển thị tiêu đề nhóm "Thông tin nghề nghiệp và thu nhập" và đủ 4 chỉ tiêu CN018, CN019, CN020, CN021: mã chỉ tiêu + giá trị đang lưu; chỉ đọc (BR-028, BR-030)</t>
  </si>
  <si>
    <t>Kiểm tra hiển thị từng chỉ tiêu nhóm Thông tin nghề nghiệp và thu nhập (cá nhân)</t>
  </si>
  <si>
    <t>Chỉ tiêu CN018</t>
  </si>
  <si>
    <t>CN018</t>
  </si>
  <si>
    <t>1. Tại màn hình "Danh sách hồ sơ pháp lý" (Cá nhân, 31358001, D11) mở menu Thao tác → Xem của hồ sơ cá nhân
2. Quan sát dòng CN018
3. Hover vào mã CN018</t>
  </si>
  <si>
    <t>Hiển thị mã CN018 và giá trị đang lưu tại CSDL; tooltip đúng tên chỉ tiêu CN018 theo danh mục chỉ tiêu; chỉ đọc (BR-028, BR-030)</t>
  </si>
  <si>
    <t>Chỉ tiêu CN019</t>
  </si>
  <si>
    <t>CN019</t>
  </si>
  <si>
    <t>1. Tại màn hình "Danh sách hồ sơ pháp lý" (Cá nhân, 31358001, D11) mở menu Thao tác → Xem của hồ sơ cá nhân
2. Quan sát dòng CN019
3. Hover vào mã CN019</t>
  </si>
  <si>
    <t>Hiển thị mã CN019 và giá trị đang lưu tại CSDL; tooltip đúng tên chỉ tiêu CN019 theo danh mục chỉ tiêu; chỉ đọc (BR-028, BR-030)</t>
  </si>
  <si>
    <t>Chỉ tiêu CN020</t>
  </si>
  <si>
    <t>CN020</t>
  </si>
  <si>
    <t>1. Tại màn hình "Danh sách hồ sơ pháp lý" (Cá nhân, 31358001, D11) mở menu Thao tác → Xem của hồ sơ cá nhân
2. Quan sát dòng CN020
3. Hover vào mã CN020</t>
  </si>
  <si>
    <t>Hiển thị mã CN020 và giá trị đang lưu tại CSDL; tooltip đúng tên chỉ tiêu CN020 theo danh mục chỉ tiêu; chỉ đọc (BR-028, BR-030)</t>
  </si>
  <si>
    <t>Chỉ tiêu CN021</t>
  </si>
  <si>
    <t>CN021</t>
  </si>
  <si>
    <t>1. Tại màn hình "Danh sách hồ sơ pháp lý" (Cá nhân, 31358001, D11) mở menu Thao tác → Xem của hồ sơ cá nhân
2. Quan sát dòng CN021
3. Hover vào mã CN021</t>
  </si>
  <si>
    <t>Hiển thị mã CN021 và giá trị đang lưu tại CSDL; tooltip đúng tên chỉ tiêu CN021 theo danh mục chỉ tiêu; chỉ đọc (BR-028, BR-030)</t>
  </si>
  <si>
    <t>CN022</t>
  </si>
  <si>
    <t>1. Tại màn hình "Danh sách hồ sơ pháp lý" (Cá nhân, 31358001, D11) mở menu Thao tác → Xem của hồ sơ cá nhân
2. Quan sát nhóm Thông tin thành viên</t>
  </si>
  <si>
    <t>Hiển thị tiêu đề nhóm "Thông tin thành viên" và đủ 1 chỉ tiêu CN022: mã chỉ tiêu + giá trị đang lưu; chỉ đọc (BR-028, BR-030)</t>
  </si>
  <si>
    <t>Kiểm tra hiển thị từng chỉ tiêu nhóm Thông tin thành viên (cá nhân)</t>
  </si>
  <si>
    <t>Chỉ tiêu CN022</t>
  </si>
  <si>
    <t>1. Tại màn hình "Danh sách hồ sơ pháp lý" (Cá nhân, 31358001, D11) mở menu Thao tác → Xem của hồ sơ cá nhân
2. Quan sát dòng CN022
3. Hover vào mã CN022</t>
  </si>
  <si>
    <t>Hiển thị mã CN022 và giá trị đang lưu tại CSDL; tooltip đúng tên chỉ tiêu CN022 theo danh mục chỉ tiêu; chỉ đọc (BR-028, BR-030)</t>
  </si>
  <si>
    <t>1. Tại màn hình "Danh sách hồ sơ pháp lý" (Cá nhân, 31358001, D11) mở menu Thao tác → Xem của hồ sơ cá nhân
2. Hover vào mã CN001</t>
  </si>
  <si>
    <t>Kiểm tra khối lặp vốn điều lệ, người đại diện, HĐQT/HĐTV</t>
  </si>
  <si>
    <t>Kiểm tra hiển thị TC024 Vốn điều lệ</t>
  </si>
  <si>
    <t>Không có bản ghi</t>
  </si>
  <si>
    <t>0 bản ghi</t>
  </si>
  <si>
    <t>1. Tại màn hình "Danh sách hồ sơ pháp lý" (Tổ chức, 31358001, D11) mở menu Thao tác → Xem của hồ sơ tổ chức
2. Quan sát TC024 Vốn điều lệ</t>
  </si>
  <si>
    <t>Chỉ hiển thị tiêu đề nhóm, không có dòng dữ liệu (assumption Q37)</t>
  </si>
  <si>
    <t>Có 1 bản ghi</t>
  </si>
  <si>
    <t>1 bản ghi</t>
  </si>
  <si>
    <t>Hiển thị khối "Vốn điều lệ 1" gồm TC0241, TC0242 với giá trị đang lưu</t>
  </si>
  <si>
    <t>Có nhiều bản ghi</t>
  </si>
  <si>
    <t>3 bản ghi</t>
  </si>
  <si>
    <t>Hiển thị "Vốn điều lệ 1", "Vốn điều lệ 2", "Vốn điều lệ 3" trải xuống dưới, mỗi khối đủ TC0241, TC0242</t>
  </si>
  <si>
    <t>Kiểm tra hiển thị từng chỉ tiêu nhóm TC024 Vốn điều lệ</t>
  </si>
  <si>
    <t>Chỉ tiêu TC0241</t>
  </si>
  <si>
    <t>TC0241</t>
  </si>
  <si>
    <t>1. Tại màn hình "Danh sách hồ sơ pháp lý" (Tổ chức, 31358001, D11) mở menu Thao tác → Xem của hồ sơ tổ chức
2. Quan sát dòng TC0241
3. Hover vào mã TC0241</t>
  </si>
  <si>
    <t>Hiển thị mã TC0241 và giá trị đang lưu tại CSDL; tooltip đúng tên chỉ tiêu TC0241 theo danh mục chỉ tiêu; chỉ đọc (BR-028, BR-030)</t>
  </si>
  <si>
    <t>Chỉ tiêu TC0242</t>
  </si>
  <si>
    <t>TC0242</t>
  </si>
  <si>
    <t>1. Tại màn hình "Danh sách hồ sơ pháp lý" (Tổ chức, 31358001, D11) mở menu Thao tác → Xem của hồ sơ tổ chức
2. Quan sát dòng TC0242
3. Hover vào mã TC0242</t>
  </si>
  <si>
    <t>Hiển thị mã TC0242 và giá trị đang lưu tại CSDL; tooltip đúng tên chỉ tiêu TC0242 theo danh mục chỉ tiêu; chỉ đọc (BR-028, BR-030)</t>
  </si>
  <si>
    <t>Kiểm tra hiển thị TC025 Thông tin người đại diện</t>
  </si>
  <si>
    <t>1. Tại màn hình "Danh sách hồ sơ pháp lý" (Tổ chức, 31358001, D11) mở menu Thao tác → Xem của hồ sơ tổ chức
2. Quan sát TC025 Thông tin người đại diện</t>
  </si>
  <si>
    <t>Hiển thị khối "Người đại diện 1" gồm TC0251, TC0252, TC0253 với giá trị đang lưu</t>
  </si>
  <si>
    <t>Hiển thị "Người đại diện 1", "Người đại diện 2", "Người đại diện 3" trải xuống dưới, mỗi khối đủ TC0251, TC0252, TC0253</t>
  </si>
  <si>
    <t>Kiểm tra hiển thị từng chỉ tiêu nhóm TC025 Thông tin người đại diện</t>
  </si>
  <si>
    <t>Chỉ tiêu TC0251</t>
  </si>
  <si>
    <t>TC0251</t>
  </si>
  <si>
    <t>1. Tại màn hình "Danh sách hồ sơ pháp lý" (Tổ chức, 31358001, D11) mở menu Thao tác → Xem của hồ sơ tổ chức
2. Quan sát dòng TC0251
3. Hover vào mã TC0251</t>
  </si>
  <si>
    <t>Hiển thị mã TC0251 và giá trị đang lưu tại CSDL; tooltip đúng tên chỉ tiêu TC0251 theo danh mục chỉ tiêu; chỉ đọc (BR-028, BR-030)</t>
  </si>
  <si>
    <t>Chỉ tiêu TC0252</t>
  </si>
  <si>
    <t>TC0252</t>
  </si>
  <si>
    <t>1. Tại màn hình "Danh sách hồ sơ pháp lý" (Tổ chức, 31358001, D11) mở menu Thao tác → Xem của hồ sơ tổ chức
2. Quan sát dòng TC0252
3. Hover vào mã TC0252</t>
  </si>
  <si>
    <t>Hiển thị mã TC0252 và giá trị đang lưu tại CSDL; tooltip đúng tên chỉ tiêu TC0252 theo danh mục chỉ tiêu; chỉ đọc (BR-028, BR-030)</t>
  </si>
  <si>
    <t>Chỉ tiêu TC0253</t>
  </si>
  <si>
    <t>TC0253</t>
  </si>
  <si>
    <t>1. Tại màn hình "Danh sách hồ sơ pháp lý" (Tổ chức, 31358001, D11) mở menu Thao tác → Xem của hồ sơ tổ chức
2. Quan sát dòng TC0253
3. Hover vào mã TC0253</t>
  </si>
  <si>
    <t>Hiển thị mã TC0253 và giá trị đang lưu tại CSDL; tooltip đúng tên chỉ tiêu TC0253 theo danh mục chỉ tiêu; chỉ đọc (BR-028, BR-030)</t>
  </si>
  <si>
    <t>Kiểm tra hiển thị TC026 Thành viên HĐQT/HĐTV</t>
  </si>
  <si>
    <t>1. Tại màn hình "Danh sách hồ sơ pháp lý" (Tổ chức, 31358001, D11) mở menu Thao tác → Xem của hồ sơ tổ chức
2. Quan sát TC026 Thành viên HĐQT/HĐTV</t>
  </si>
  <si>
    <t>Hiển thị khối "Thành viên 1" gồm TC0261, TC0262, TC0263 với giá trị đang lưu</t>
  </si>
  <si>
    <t>Hiển thị "Thành viên 1", "Thành viên 2", "Thành viên 3" trải xuống dưới, mỗi khối đủ TC0261, TC0262, TC0263</t>
  </si>
  <si>
    <t>Kiểm tra hiển thị từng chỉ tiêu nhóm TC026 Thành viên HĐQT/HĐTV</t>
  </si>
  <si>
    <t>Chỉ tiêu TC0261</t>
  </si>
  <si>
    <t>TC0261</t>
  </si>
  <si>
    <t>1. Tại màn hình "Danh sách hồ sơ pháp lý" (Tổ chức, 31358001, D11) mở menu Thao tác → Xem của hồ sơ tổ chức
2. Quan sát dòng TC0261
3. Hover vào mã TC0261</t>
  </si>
  <si>
    <t>Hiển thị mã TC0261 và giá trị đang lưu tại CSDL; tooltip đúng tên chỉ tiêu TC0261 theo danh mục chỉ tiêu; chỉ đọc (BR-028, BR-030)</t>
  </si>
  <si>
    <t>Chỉ tiêu TC0262</t>
  </si>
  <si>
    <t>TC0262</t>
  </si>
  <si>
    <t>1. Tại màn hình "Danh sách hồ sơ pháp lý" (Tổ chức, 31358001, D11) mở menu Thao tác → Xem của hồ sơ tổ chức
2. Quan sát dòng TC0262
3. Hover vào mã TC0262</t>
  </si>
  <si>
    <t>Hiển thị mã TC0262 và giá trị đang lưu tại CSDL; tooltip đúng tên chỉ tiêu TC0262 theo danh mục chỉ tiêu; chỉ đọc (BR-028, BR-030)</t>
  </si>
  <si>
    <t>Chỉ tiêu TC0263</t>
  </si>
  <si>
    <t>TC0263</t>
  </si>
  <si>
    <t>1. Tại màn hình "Danh sách hồ sơ pháp lý" (Tổ chức, 31358001, D11) mở menu Thao tác → Xem của hồ sơ tổ chức
2. Quan sát dòng TC0263
3. Hover vào mã TC0263</t>
  </si>
  <si>
    <t>Hiển thị mã TC0263 và giá trị đang lưu tại CSDL; tooltip đúng tên chỉ tiêu TC0263 theo danh mục chỉ tiêu; chỉ đọc (BR-028, BR-030)</t>
  </si>
  <si>
    <t>Kiểm tra bảng Lịch sử cập nhật</t>
  </si>
  <si>
    <t>1. Tại màn hình "Danh sách hồ sơ pháp lý" (Cá nhân, 31358001, D11) mở menu Thao tác → Xem của hồ sơ cá nhân, chọn tab Lịch sử cập nhật
2. Quan sát cột STT</t>
  </si>
  <si>
    <t>Số thứ tự dòng lịch sử</t>
  </si>
  <si>
    <t>1. Tại màn hình "Danh sách hồ sơ pháp lý" (Cá nhân, 31358001, D11) mở menu Thao tác → Xem của hồ sơ cá nhân, chọn tab Lịch sử cập nhật
2. Double-click / nhấn F2 vào ô của cột STT</t>
  </si>
  <si>
    <t>1. Tại màn hình "Danh sách hồ sơ pháp lý" (Cá nhân, 31358001, D11) mở menu Thao tác → Xem của hồ sơ cá nhân, chọn tab Lịch sử cập nhật
2. Quan sát header cột STT</t>
  </si>
  <si>
    <t>Kiểm tra cột Thời gian</t>
  </si>
  <si>
    <t>Hiển thị cột Thời gian</t>
  </si>
  <si>
    <t>1. Tại màn hình "Danh sách hồ sơ pháp lý" (Cá nhân, 31358001, D11) mở menu Thao tác → Xem của hồ sơ cá nhân, chọn tab Lịch sử cập nhật
2. Quan sát cột Thời gian</t>
  </si>
  <si>
    <t>Định dạng DD/MM/YYYY HH:MM:SS</t>
  </si>
  <si>
    <t>Cột Thời gian chỉ đọc</t>
  </si>
  <si>
    <t>1. Tại màn hình "Danh sách hồ sơ pháp lý" (Cá nhân, 31358001, D11) mở menu Thao tác → Xem của hồ sơ cá nhân, chọn tab Lịch sử cập nhật
2. Double-click / nhấn F2 vào ô của cột Thời gian</t>
  </si>
  <si>
    <t>Cột Thời gian không có ô lọc</t>
  </si>
  <si>
    <t>1. Tại màn hình "Danh sách hồ sơ pháp lý" (Cá nhân, 31358001, D11) mở menu Thao tác → Xem của hồ sơ cá nhân, chọn tab Lịch sử cập nhật
2. Quan sát header cột Thời gian</t>
  </si>
  <si>
    <t>Cột Thời gian không có icon/ô lọc (Quy tắc component: STT, Thao tác không lọc; SRS không mô tả lọc cho bảng này)</t>
  </si>
  <si>
    <t>Căn lề cột Thời gian</t>
  </si>
  <si>
    <t>1. Tại màn hình "Danh sách hồ sơ pháp lý" (Cá nhân, 31358001, D11) mở menu Thao tác → Xem của hồ sơ cá nhân, chọn tab Lịch sử cập nhật
2. Quan sát cột Người cập nhật</t>
  </si>
  <si>
    <t>Tên tài khoản hoặc "Sys"; hover hiển thị tên đầy đủ và tên viết tắt phòng ban (BR-031)</t>
  </si>
  <si>
    <t>1. Tại màn hình "Danh sách hồ sơ pháp lý" (Cá nhân, 31358001, D11) mở menu Thao tác → Xem của hồ sơ cá nhân, chọn tab Lịch sử cập nhật
2. Double-click / nhấn F2 vào ô của cột Người cập nhật</t>
  </si>
  <si>
    <t>Cột Người cập nhật không có ô lọc</t>
  </si>
  <si>
    <t>1. Tại màn hình "Danh sách hồ sơ pháp lý" (Cá nhân, 31358001, D11) mở menu Thao tác → Xem của hồ sơ cá nhân, chọn tab Lịch sử cập nhật
2. Quan sát header cột Người cập nhật</t>
  </si>
  <si>
    <t>Cột Người cập nhật không có icon/ô lọc (Quy tắc component: STT, Thao tác không lọc; SRS không mô tả lọc cho bảng này)</t>
  </si>
  <si>
    <t>Kiểm tra cột Hành động</t>
  </si>
  <si>
    <t>Hiển thị cột Hành động</t>
  </si>
  <si>
    <t>1. Tại màn hình "Danh sách hồ sơ pháp lý" (Cá nhân, 31358001, D11) mở menu Thao tác → Xem của hồ sơ cá nhân, chọn tab Lịch sử cập nhật
2. Quan sát cột Hành động</t>
  </si>
  <si>
    <t>Một trong: Tiếp nhận, Cập nhật tự động, Cấp mã CIC, Cập nhật, Từ chối (BR-031)</t>
  </si>
  <si>
    <t>Cột Hành động chỉ đọc</t>
  </si>
  <si>
    <t>1. Tại màn hình "Danh sách hồ sơ pháp lý" (Cá nhân, 31358001, D11) mở menu Thao tác → Xem của hồ sơ cá nhân, chọn tab Lịch sử cập nhật
2. Double-click / nhấn F2 vào ô của cột Hành động</t>
  </si>
  <si>
    <t>Cột Hành động không có ô lọc</t>
  </si>
  <si>
    <t>1. Tại màn hình "Danh sách hồ sơ pháp lý" (Cá nhân, 31358001, D11) mở menu Thao tác → Xem của hồ sơ cá nhân, chọn tab Lịch sử cập nhật
2. Quan sát header cột Hành động</t>
  </si>
  <si>
    <t>Cột Hành động không có icon/ô lọc (Quy tắc component: STT, Thao tác không lọc; SRS không mô tả lọc cho bảng này)</t>
  </si>
  <si>
    <t>Căn lề cột Hành động</t>
  </si>
  <si>
    <t>Kiểm tra cột Giá trị cũ</t>
  </si>
  <si>
    <t>Hiển thị cột Giá trị cũ</t>
  </si>
  <si>
    <t>1. Tại màn hình "Danh sách hồ sơ pháp lý" (Cá nhân, 31358001, D11) mở menu Thao tác → Xem của hồ sơ cá nhân, chọn tab Lịch sử cập nhật
2. Quan sát cột Giá trị cũ</t>
  </si>
  <si>
    <t>Chỉ các trường có thay đổi, mỗi trường một dòng (BR-031)</t>
  </si>
  <si>
    <t>Cột Giá trị cũ chỉ đọc</t>
  </si>
  <si>
    <t>1. Tại màn hình "Danh sách hồ sơ pháp lý" (Cá nhân, 31358001, D11) mở menu Thao tác → Xem của hồ sơ cá nhân, chọn tab Lịch sử cập nhật
2. Double-click / nhấn F2 vào ô của cột Giá trị cũ</t>
  </si>
  <si>
    <t>Cột Giá trị cũ không có ô lọc</t>
  </si>
  <si>
    <t>1. Tại màn hình "Danh sách hồ sơ pháp lý" (Cá nhân, 31358001, D11) mở menu Thao tác → Xem của hồ sơ cá nhân, chọn tab Lịch sử cập nhật
2. Quan sát header cột Giá trị cũ</t>
  </si>
  <si>
    <t>Cột Giá trị cũ không có icon/ô lọc (Quy tắc component: STT, Thao tác không lọc; SRS không mô tả lọc cho bảng này)</t>
  </si>
  <si>
    <t>Căn lề cột Giá trị cũ</t>
  </si>
  <si>
    <t>Kiểm tra cột Giá trị mới</t>
  </si>
  <si>
    <t>Hiển thị cột Giá trị mới</t>
  </si>
  <si>
    <t>1. Tại màn hình "Danh sách hồ sơ pháp lý" (Cá nhân, 31358001, D11) mở menu Thao tác → Xem của hồ sơ cá nhân, chọn tab Lịch sử cập nhật
2. Quan sát cột Giá trị mới</t>
  </si>
  <si>
    <t>Giá trị sau thay đổi, chỉ các trường có thay đổi, mỗi trường một dòng</t>
  </si>
  <si>
    <t>Cột Giá trị mới chỉ đọc</t>
  </si>
  <si>
    <t>1. Tại màn hình "Danh sách hồ sơ pháp lý" (Cá nhân, 31358001, D11) mở menu Thao tác → Xem của hồ sơ cá nhân, chọn tab Lịch sử cập nhật
2. Double-click / nhấn F2 vào ô của cột Giá trị mới</t>
  </si>
  <si>
    <t>Cột Giá trị mới không có ô lọc</t>
  </si>
  <si>
    <t>1. Tại màn hình "Danh sách hồ sơ pháp lý" (Cá nhân, 31358001, D11) mở menu Thao tác → Xem của hồ sơ cá nhân, chọn tab Lịch sử cập nhật
2. Quan sát header cột Giá trị mới</t>
  </si>
  <si>
    <t>Cột Giá trị mới không có icon/ô lọc (Quy tắc component: STT, Thao tác không lọc; SRS không mô tả lọc cho bảng này)</t>
  </si>
  <si>
    <t>Căn lề cột Giá trị mới</t>
  </si>
  <si>
    <t>Kiểm tra cột Địa chỉ IP</t>
  </si>
  <si>
    <t>Hiển thị cột Địa chỉ IP</t>
  </si>
  <si>
    <t>1. Tại màn hình "Danh sách hồ sơ pháp lý" (Cá nhân, 31358001, D11) mở menu Thao tác → Xem của hồ sơ cá nhân, chọn tab Lịch sử cập nhật
2. Quan sát cột Địa chỉ IP</t>
  </si>
  <si>
    <t>IP thiết bị của tài khoản tại thời điểm thao tác; trống với hành động Hệ thống (assumption Q36)</t>
  </si>
  <si>
    <t>Cột Địa chỉ IP chỉ đọc</t>
  </si>
  <si>
    <t>1. Tại màn hình "Danh sách hồ sơ pháp lý" (Cá nhân, 31358001, D11) mở menu Thao tác → Xem của hồ sơ cá nhân, chọn tab Lịch sử cập nhật
2. Double-click / nhấn F2 vào ô của cột Địa chỉ IP</t>
  </si>
  <si>
    <t>Cột Địa chỉ IP không có ô lọc</t>
  </si>
  <si>
    <t>1. Tại màn hình "Danh sách hồ sơ pháp lý" (Cá nhân, 31358001, D11) mở menu Thao tác → Xem của hồ sơ cá nhân, chọn tab Lịch sử cập nhật
2. Quan sát header cột Địa chỉ IP</t>
  </si>
  <si>
    <t>Cột Địa chỉ IP không có icon/ô lọc (Quy tắc component: STT, Thao tác không lọc; SRS không mô tả lọc cho bảng này)</t>
  </si>
  <si>
    <t>Căn lề cột Địa chỉ IP</t>
  </si>
  <si>
    <t>Kiểm tra cột Mô tả</t>
  </si>
  <si>
    <t>Hiển thị cột Mô tả</t>
  </si>
  <si>
    <t>1. Tại màn hình "Danh sách hồ sơ pháp lý" (Cá nhân, 31358001, D11) mở menu Thao tác → Xem của hồ sơ cá nhân, chọn tab Lịch sử cập nhật
2. Quan sát cột Mô tả</t>
  </si>
  <si>
    <t>Mô tả / lý do của hành động; &gt; 2 dòng hiển thị "..." kèm nút "Xem tiếp" (Quy tắc component)</t>
  </si>
  <si>
    <t>Cột Mô tả chỉ đọc</t>
  </si>
  <si>
    <t>1. Tại màn hình "Danh sách hồ sơ pháp lý" (Cá nhân, 31358001, D11) mở menu Thao tác → Xem của hồ sơ cá nhân, chọn tab Lịch sử cập nhật
2. Double-click / nhấn F2 vào ô của cột Mô tả</t>
  </si>
  <si>
    <t>Cột Mô tả không có ô lọc</t>
  </si>
  <si>
    <t>1. Tại màn hình "Danh sách hồ sơ pháp lý" (Cá nhân, 31358001, D11) mở menu Thao tác → Xem của hồ sơ cá nhân, chọn tab Lịch sử cập nhật
2. Quan sát header cột Mô tả</t>
  </si>
  <si>
    <t>Cột Mô tả không có icon/ô lọc (Quy tắc component: STT, Thao tác không lọc; SRS không mô tả lọc cho bảng này)</t>
  </si>
  <si>
    <t>Căn lề cột Mô tả</t>
  </si>
  <si>
    <t>Kiểm tra sắp xếp và cuộn bảng lịch sử</t>
  </si>
  <si>
    <t>Thứ tự và cuộn</t>
  </si>
  <si>
    <t>KH có 12 dòng lịch sử</t>
  </si>
  <si>
    <t>1. Tại màn hình "Danh sách hồ sơ pháp lý" (Cá nhân, 31358001, D11) mở menu Thao tác → Xem của hồ sơ cá nhân, chọn tab Lịch sử cập nhật</t>
  </si>
  <si>
    <t>Mới nhất trên cùng; bảng cuộn dọc, không phân trang (Quy tắc component, assumption Q36)</t>
  </si>
  <si>
    <t>Kiểm tra bảng lịch sử rỗng</t>
  </si>
  <si>
    <t>Không có dòng lịch sử</t>
  </si>
  <si>
    <t>Xóa dữ liệu lịch sử trên môi trường test</t>
  </si>
  <si>
    <t>Hiển thị empty state CMP-033 (EXC-01)</t>
  </si>
  <si>
    <t>Kiểm tra button Đóng</t>
  </si>
  <si>
    <t>Kiểm tra hiển thị nút Đóng</t>
  </si>
  <si>
    <t>1. Tại màn hình "Danh sách hồ sơ pháp lý" (Cá nhân, 31358001, D11) mở menu Thao tác → Xem của hồ sơ cá nhân
2. Quan sát nút Đóng</t>
  </si>
  <si>
    <t>Nút "Đóng" ở cuối popup "Xem chi tiết hồ sơ pháp lý tệp D10/D11"</t>
  </si>
  <si>
    <t>Kiểm tra trạng thái enable/disable của nút Đóng</t>
  </si>
  <si>
    <t>1. Tại màn hình "Danh sách hồ sơ pháp lý" (Cá nhân, 31358001, D11) mở menu Thao tác → Xem của hồ sơ cá nhân
2. Quan sát trạng thái nút Đóng theo từng điều kiện</t>
  </si>
  <si>
    <t>Kiểm tra click nút Đóng</t>
  </si>
  <si>
    <t>1. Tại màn hình "Danh sách hồ sơ pháp lý" (Cá nhân, 31358001, D11) mở menu Thao tác → Xem của hồ sơ cá nhân
2. Click nút Đóng</t>
  </si>
  <si>
    <t>Đóng popup, trở về màn hình "Danh sách hồ sơ pháp lý" giữ nguyên bộ lọc và trang</t>
  </si>
  <si>
    <t>Kiểm tra xem chi tiết thành công</t>
  </si>
  <si>
    <t>Kiểm tra mở xem chi tiết hồ sơ chờ cấp mã</t>
  </si>
  <si>
    <t>Xem hồ sơ D10/D11 trạng thái Chờ cấp mã</t>
  </si>
  <si>
    <t>Hồ sơ D10/D11 – Chờ cấp mã</t>
  </si>
  <si>
    <t>1. Tìm kiếm hồ sơ tệp D10/D11 trạng thái Chờ cấp mã
2. Menu Thao tác → Xem</t>
  </si>
  <si>
    <t>Mở popup "Xem chi tiết hồ sơ pháp lý tệp D10/D11" ở tab Thông tin hồ sơ; mọi giá trị đúng giá trị đang lưu tại CSDL (BR-028)
SQL đối soát (mẫu):
SELECT * FROM &lt;HO_SO_PHAP_LY&gt; WHERE LOAI_DU_LIEU = 'Pháp lý' AND TRANG_THAI_DU_LIEU = 'Hợp lệ' AND MA_TEP IN ('D10','D11','Q11') AND MA_KH = '&lt;mã KH&gt;' AND MA_DAU_MOI = '31358001' AND TRANG_THAI = 'Chờ cấp mã' ORDER BY NGAY_CAP_NHAT DESC;</t>
  </si>
  <si>
    <t>Kiểm tra mở xem chi tiết hồ sơ chờ xem xét</t>
  </si>
  <si>
    <t>Xem hồ sơ D10/D11 trạng thái Chờ xem xét</t>
  </si>
  <si>
    <t>Hồ sơ D10/D11 – Chờ xem xét</t>
  </si>
  <si>
    <t>1. Tìm kiếm hồ sơ tệp D10/D11 trạng thái Chờ xem xét
2. Menu Thao tác → Xem</t>
  </si>
  <si>
    <t>Mở popup "Xem chi tiết hồ sơ pháp lý tệp D10/D11" ở tab Thông tin hồ sơ; mọi giá trị đúng giá trị đang lưu tại CSDL (BR-028)
SQL đối soát (mẫu):
SELECT * FROM &lt;HO_SO_PHAP_LY&gt; WHERE LOAI_DU_LIEU = 'Pháp lý' AND TRANG_THAI_DU_LIEU = 'Hợp lệ' AND MA_TEP IN ('D10','D11','Q11') AND MA_KH = '&lt;mã KH&gt;' AND MA_DAU_MOI = '31358001' AND TRANG_THAI = 'Chờ xem xét' ORDER BY NGAY_CAP_NHAT DESC;</t>
  </si>
  <si>
    <t>Kiểm tra mở xem chi tiết hồ sơ đã xử lý</t>
  </si>
  <si>
    <t>Xem hồ sơ D10/D11 trạng thái Đã xử lý</t>
  </si>
  <si>
    <t>Hồ sơ D10/D11 – Đã xử lý</t>
  </si>
  <si>
    <t>1. Tìm kiếm hồ sơ tệp D10/D11 trạng thái Đã xử lý
2. Menu Thao tác → Xem</t>
  </si>
  <si>
    <t>Mở popup "Xem chi tiết hồ sơ pháp lý tệp D10/D11" ở tab Thông tin hồ sơ; mọi giá trị đúng giá trị đang lưu tại CSDL (BR-028)
SQL đối soát (mẫu):
SELECT * FROM &lt;HO_SO_PHAP_LY&gt; WHERE LOAI_DU_LIEU = 'Pháp lý' AND TRANG_THAI_DU_LIEU = 'Hợp lệ' AND MA_TEP IN ('D10','D11','Q11') AND MA_KH = '&lt;mã KH&gt;' AND MA_DAU_MOI = '31358001' AND TRANG_THAI = 'Đã xử lý' ORDER BY NGAY_CAP_NHAT DESC;</t>
  </si>
  <si>
    <t>Kiểm tra mở xem chi tiết hồ sơ từ chối</t>
  </si>
  <si>
    <t>Xem hồ sơ D10/D11 trạng thái Từ chối</t>
  </si>
  <si>
    <t>Hồ sơ D10/D11 – Từ chối</t>
  </si>
  <si>
    <t>1. Tìm kiếm hồ sơ tệp D10/D11 trạng thái Từ chối
2. Menu Thao tác → Xem</t>
  </si>
  <si>
    <t>Mở popup "Xem chi tiết hồ sơ pháp lý tệp D10/D11" ở tab Thông tin hồ sơ; mọi giá trị đúng giá trị đang lưu tại CSDL (BR-028)
SQL đối soát (mẫu):
SELECT * FROM &lt;HO_SO_PHAP_LY&gt; WHERE LOAI_DU_LIEU = 'Pháp lý' AND TRANG_THAI_DU_LIEU = 'Hợp lệ' AND MA_TEP IN ('D10','D11','Q11') AND MA_KH = '&lt;mã KH&gt;' AND MA_DAU_MOI = '31358001' AND TRANG_THAI = 'Từ chối' ORDER BY NGAY_CAP_NHAT DESC;</t>
  </si>
  <si>
    <t>Kiểm tra mở đúng màn hình theo loại tệp</t>
  </si>
  <si>
    <t>Phân luồng màn xem theo tệp</t>
  </si>
  <si>
    <t>Hồ sơ D10, D11, Q11</t>
  </si>
  <si>
    <t>1. Xem lần lượt hồ sơ D10, D11, Q11</t>
  </si>
  <si>
    <t>D10 và D11 mở popup "Xem chi tiết hồ sơ pháp lý tệp D10/D11"; Q11 mở popup "Xem chi tiết hồ sơ pháp lý tệp Q11" (Luồng màn hình)</t>
  </si>
  <si>
    <t>Kiểm tra khách hàng tổ chức chỉ hiển thị nhóm chỉ tiêu tổ chức</t>
  </si>
  <si>
    <t>Tập chỉ tiêu theo Loại KH = Tổ chức</t>
  </si>
  <si>
    <t>Hồ sơ Tổ chức</t>
  </si>
  <si>
    <t>1. Tại màn hình "Danh sách hồ sơ pháp lý" (Tổ chức, 31358001, D11) mở menu Thao tác → Xem của hồ sơ tổ chức</t>
  </si>
  <si>
    <t>Hiển thị nhóm KB, TTC, TC (Thông tin định danh: TTC03, TTC04, Thông tin chung: TC001–TC010, Thông tin pháp lý: TC011–TC016, Loại hình &amp; ngành nghề: TC017, TC018, Tổng giám đốc/Giám đốc: TC019–TC021, Thông tin thành viên: TC022, TC023) và các khối TC024, TC025, TC026; không có nhóm CN (AC#3)</t>
  </si>
  <si>
    <t>Kiểm tra khách hàng cá nhân chỉ hiển thị nhóm chỉ tiêu cá nhân</t>
  </si>
  <si>
    <t>Tập chỉ tiêu theo Loại KH = Cá nhân</t>
  </si>
  <si>
    <t>Hồ sơ Cá nhân</t>
  </si>
  <si>
    <t>Hiển thị nhóm KB, TTC, CN (Thông tin định danh: TTC03, TTC04, Thông tin chung: CN001–CN007, Thông tin pháp lý: CN008–CN015, Thông tin vợ/chồng: CN016, CN017, Thông tin nghề nghiệp và thu nhập: CN018–CN021, Thông tin thành viên: CN022); không có nhóm TC (AC#3)</t>
  </si>
  <si>
    <t>Kiểm tra giá trị hiển thị là giá trị đang lưu</t>
  </si>
  <si>
    <t>Đối chiếu với CSDL</t>
  </si>
  <si>
    <t>Hồ sơ đã được cán bộ Cập nhật</t>
  </si>
  <si>
    <t>1. Tại màn hình "Danh sách hồ sơ pháp lý" (Cá nhân, 31358001, D11) mở menu Thao tác → Xem của hồ sơ cá nhân
2. Đối chiếu từng chỉ tiêu với CSDL</t>
  </si>
  <si>
    <t>Mọi giá trị khớp giá trị đang lưu của hồ sơ tại CSDL (BR-028)
SQL đối soát (mẫu):
SELECT * FROM &lt;HO_SO_PHAP_LY&gt; WHERE LOAI_DU_LIEU = 'Pháp lý' AND TRANG_THAI_DU_LIEU = 'Hợp lệ' AND MA_TEP IN ('D10','D11','Q11') AND MA_KH = '&lt;mã KH&gt;' AND MA_DAU_MOI = '31358001' AND NGAY_BAO_CAO = '&lt;ngày&gt;' ORDER BY MA_TEP;</t>
  </si>
  <si>
    <t>Kiểm tra lịch sử cập nhật</t>
  </si>
  <si>
    <t>Kiểm tra lịch sử theo khách hàng qua nhiều kỳ báo cáo</t>
  </si>
  <si>
    <t>Phạm vi lịch sử TTC00 + TTC03</t>
  </si>
  <si>
    <t>KH CIF0000123462 có hồ sơ kỳ 30/06 và 30/08 của 31358001; KH cùng TTC03 nhưng đầu mối 79202501</t>
  </si>
  <si>
    <t>Hiển thị dòng lịch sử của cả 2 kỳ của cặp 31358001 + CIF0000123462; không hiển thị lịch sử của 79202501 (BR-031)</t>
  </si>
  <si>
    <t>Kiểm tra nội dung dòng lịch sử theo hành động</t>
  </si>
  <si>
    <t>Tiếp nhận</t>
  </si>
  <si>
    <t>Hồ sơ mới tiếp nhận</t>
  </si>
  <si>
    <t>Dòng "Tiếp nhận", Người cập nhật Sys; mọi hồ sơ có ít nhất dòng này (BR-031, assumption Q36)</t>
  </si>
  <si>
    <t>Cập nhật tự động</t>
  </si>
  <si>
    <t>Hồ sơ Không thay đổi TTQT</t>
  </si>
  <si>
    <t>Dòng "Cập nhật tự động", Sys; Giá trị cũ/mới chỉ gồm trường không quan trọng có thay đổi</t>
  </si>
  <si>
    <t>Cấp mã CIC</t>
  </si>
  <si>
    <t>Hồ sơ đã được cấp mã</t>
  </si>
  <si>
    <t>Dòng "Cấp mã CIC", Sys; Giá trị mới là Mã CIC được cấp</t>
  </si>
  <si>
    <t>Cập nhật</t>
  </si>
  <si>
    <t>Hồ sơ cán bộ cbxl01 Cập nhật</t>
  </si>
  <si>
    <t>Dòng "Cập nhật", cbxl01, IP thiết bị; Giá trị cũ/mới các trường thay đổi; Mô tả = lý do</t>
  </si>
  <si>
    <t>Từ chối</t>
  </si>
  <si>
    <t>Hồ sơ cbxl01 Từ chối</t>
  </si>
  <si>
    <t>Dòng "Từ chối", cbxl01; Giá trị cũ/mới trống; Mô tả = lý do từ chối (assumption Q36)</t>
  </si>
  <si>
    <t>Kiểm tra chỉ hiển thị trường có thay đổi</t>
  </si>
  <si>
    <t>Giá trị cũ / Giá trị mới</t>
  </si>
  <si>
    <t>Cập nhật đổi CN003 và CN009</t>
  </si>
  <si>
    <t>Giá trị cũ / mới chỉ có 2 dòng CN003, CN009, mỗi trường một dòng (BR-031, AC#4)</t>
  </si>
  <si>
    <t>Kiểm tra tooltip người cập nhật</t>
  </si>
  <si>
    <t>Hover Người cập nhật</t>
  </si>
  <si>
    <t>cbxl01</t>
  </si>
  <si>
    <t>1. Tại màn hình "Danh sách hồ sơ pháp lý" (Cá nhân, 31358001, D11) mở menu Thao tác → Xem của hồ sơ cá nhân, chọn tab Lịch sử cập nhật
2. Hover vào cbxl01</t>
  </si>
  <si>
    <t>Tooltip gồm tên đầy đủ và tên viết tắt phòng ban của tài khoản (BR-031)</t>
  </si>
  <si>
    <t>Kiểm tra xem chi tiết không thành công</t>
  </si>
  <si>
    <t>Kiểm tra xem chi tiết khi API lỗi</t>
  </si>
  <si>
    <t>Xem chi tiết thất bại — API lỗi</t>
  </si>
  <si>
    <t>Giả lập API lấy chi tiết hồ sơ trả lỗi 500 / mất kết nối</t>
  </si>
  <si>
    <t>1. Tại màn hình "Danh sách hồ sơ pháp lý" (Cá nhân, 31358001, D11) mở menu Thao tác của hồ sơ cá nhân
2. Click Xem</t>
  </si>
  <si>
    <t>Hệ thống hiển thị thông báo "Đã có lỗi xảy ra. Vui lòng thử lại."; popup không hiển thị dữ liệu sai/trống lẫn dữ liệu cũ; ở lại danh sách, giữ bộ lọc (theo mẫu common1)</t>
  </si>
  <si>
    <t>Kiểm tra xem chi tiết khi API timeout</t>
  </si>
  <si>
    <t>Xem chi tiết thất bại — API timeout</t>
  </si>
  <si>
    <t>Giả lập API lấy chi tiết phản hồi quá thời gian chờ</t>
  </si>
  <si>
    <t>Hiển thị loading trong thời gian chờ; hết thời gian hiển thị thông báo "Đã có lỗi xảy ra. Vui lòng thử lại."; giao diện không bị treo (theo mẫu common1)</t>
  </si>
  <si>
    <t>Kiểm tra xem chi tiết khi hết phiên đăng nhập</t>
  </si>
  <si>
    <t>Token hết hạn trước khi click Xem</t>
  </si>
  <si>
    <t>1. Tại màn hình "Danh sách hồ sơ pháp lý" (Cá nhân, 31358001, D11) mở menu Thao tác của hồ sơ cá nhân
2. Chờ token hết hạn
3. Click Xem</t>
  </si>
  <si>
    <t>Kiểm tra xem chi tiết khi bị thu hồi quyền giữa chừng</t>
  </si>
  <si>
    <t>Quyền bị thu hồi khi đang ở danh sách</t>
  </si>
  <si>
    <t>Quản trị thu hồi quyền chức năng của cbxl01</t>
  </si>
  <si>
    <t>1. Tại màn hình "Danh sách hồ sơ pháp lý" (Cá nhân, 31358001, D11) mở menu Thao tác của hồ sơ cá nhân
2. Thu hồi quyền của cbxl01
3. Click Xem</t>
  </si>
  <si>
    <t>Thao tác bị chặn, toast ERR_011 "Người dùng không được phân quyền."; không hiển thị dữ liệu hồ sơ (Q38)</t>
  </si>
  <si>
    <t>Kiểm tra xem lịch sử thay đổi không thành công</t>
  </si>
  <si>
    <t>Kiểm tra xem lịch sử khi API lỗi</t>
  </si>
  <si>
    <t>Xem lịch sử thất bại — API lỗi</t>
  </si>
  <si>
    <t>Giả lập API lấy lịch sử trả lỗi 500 / mất kết nối</t>
  </si>
  <si>
    <t>Hiển thị thông báo "Đã có lỗi xảy ra. Vui lòng thử lại."; bảng lịch sử không hiển thị dữ liệu sai; vẫn quay lại được tab Thông tin hồ sơ (theo mẫu common1)</t>
  </si>
  <si>
    <t>Kiểm tra xem lịch sử khi API timeout</t>
  </si>
  <si>
    <t>Xem lịch sử thất bại — API timeout</t>
  </si>
  <si>
    <t>Giả lập API lấy lịch sử phản hồi quá thời gian chờ</t>
  </si>
  <si>
    <t>Hiển thị loading trong bảng lịch sử; hết thời gian hiển thị thông báo "Đã có lỗi xảy ra. Vui lòng thử lại."; popup không bị treo, nút Đóng vẫn dùng được</t>
  </si>
  <si>
    <t>Kiểm tra xem lịch sử khi hết phiên đăng nhập</t>
  </si>
  <si>
    <t>Hết token khi chuyển tab</t>
  </si>
  <si>
    <t>Token hết hạn trong lúc đang mở popup</t>
  </si>
  <si>
    <t>1. Tại màn hình "Danh sách hồ sơ pháp lý" (Cá nhân, 31358001, D11) mở menu Thao tác → Xem của hồ sơ cá nhân
2. Chờ token hết hạn
3. Click tab Lịch sử cập nhật</t>
  </si>
  <si>
    <t>Kiểm tra xem lịch sử khi bị thu hồi quyền giữa chừng</t>
  </si>
  <si>
    <t>Quyền bị thu hồi khi đang mở popup</t>
  </si>
  <si>
    <t>1. Tại màn hình "Danh sách hồ sơ pháp lý" (Cá nhân, 31358001, D11) mở menu Thao tác → Xem của hồ sơ cá nhân
2. Thu hồi quyền của cbxl01
3. Click tab Lịch sử cập nhật</t>
  </si>
  <si>
    <t>Thao tác bị chặn, toast ERR_011; không hiển thị dữ liệu lịch sử (Q38)</t>
  </si>
  <si>
    <t>Kiểm tra xem hồ sơ thuộc TCTD được phân quyền</t>
  </si>
  <si>
    <t>NSD được phân quyền</t>
  </si>
  <si>
    <t>Mở được popup "Xem chi tiết hồ sơ pháp lý tệp D10/D11" (Ma trận phân quyền)</t>
  </si>
  <si>
    <t>Kiểm tra xem hồ sơ ngoài TCTD được phân quyền qua đường dẫn</t>
  </si>
  <si>
    <t>Truy cập trực tiếp</t>
  </si>
  <si>
    <t>cbxl02 mở URL xem hồ sơ của 79202501</t>
  </si>
  <si>
    <t>1. Đăng nhập cbxl02
2. Dán URL xem chi tiết hồ sơ của 79202501</t>
  </si>
  <si>
    <t>Toast ERR_011, không hiển thị dữ liệu (Q38)</t>
  </si>
  <si>
    <t>Hiển thị popup "Xem chi tiết hồ sơ pháp lý tệp Q11" khi mở</t>
  </si>
  <si>
    <t>1. Tại màn hình "Danh sách hồ sơ pháp lý" (Cá nhân, 31358001, Q11) mở menu Thao tác → Xem của hồ sơ cá nhân
2. Quan sát popup "Xem chi tiết hồ sơ pháp lý tệp Q11"</t>
  </si>
  <si>
    <t>Popup "Xem chi tiết hồ sơ pháp lý tệp Q11" hiển thị:
- 2 tab: Thông tin hồ sơ (đang chọn), Lịch sử cập nhật
- Thẻ: Tên khách hàng, Đầu mối báo cáo, Mã khách hàng, Loại khách hàng, Nhóm khách hàng, Mã CIC, Trạng thái (badge), Lý do (khi Đã xử lý/Từ chối), Tên tệp
- Nhóm Thông tin khai báo chung: KB001
- Các nhóm chỉ tiêu theo Loại khách hàng
- Nút Đóng</t>
  </si>
  <si>
    <t>1. Tại màn hình "Danh sách hồ sơ pháp lý" (Cá nhân, 31358001, Q11) mở menu Thao tác → Xem của hồ sơ cá nhân
2. Quan sát toàn bộ label, control, button</t>
  </si>
  <si>
    <t>1. Tại màn hình "Danh sách hồ sơ pháp lý" (Cá nhân, 31358001, Q11) mở menu Thao tác → Xem của hồ sơ cá nhân
2. Nhấn phím Tab liên tục</t>
  </si>
  <si>
    <t>1. Tại màn hình "Danh sách hồ sơ pháp lý" (Cá nhân, 31358001, Q11) mở menu Thao tác → Xem của hồ sơ cá nhân
2. Focus control cuối cùng
3. Nhấn Shift+Tab liên tục</t>
  </si>
  <si>
    <t>1. Tại màn hình "Danh sách hồ sơ pháp lý" (Cá nhân, 31358001, Q11) mở menu Thao tác → Xem của hồ sơ cá nhân
2. Focus control
3. Nhấn phím Enter</t>
  </si>
  <si>
    <t>1. Tại màn hình "Danh sách hồ sơ pháp lý" (Cá nhân, 31358001, Q11) mở menu Thao tác → Xem của hồ sơ cá nhân
2. Nhấn Ctrl+− / Ctrl+= để đổi mức zoom</t>
  </si>
  <si>
    <t>1. Tại màn hình "Danh sách hồ sơ pháp lý" (Cá nhân, 31358001, Q11) mở menu Thao tác → Xem của hồ sơ cá nhân
2. Rà các nhãn, giá trị có từ viết tắt</t>
  </si>
  <si>
    <t>1. Tại màn hình "Danh sách hồ sơ pháp lý" (Cá nhân, 31358001, Q11) mở menu Thao tác → Xem của hồ sơ cá nhân
2. Kiểm tra hiển thị title</t>
  </si>
  <si>
    <t>1. Tại màn hình "Danh sách hồ sơ pháp lý" (Cá nhân, 31358001, Q11) mở menu Thao tác → Xem của hồ sơ cá nhân
2. Click / thử nhập vào title</t>
  </si>
  <si>
    <t>1. Tại màn hình "Danh sách hồ sơ pháp lý" (Cá nhân, 31358001, Q11) mở menu Thao tác → Xem của hồ sơ cá nhân</t>
  </si>
  <si>
    <t>1. Tại màn hình "Danh sách hồ sơ pháp lý" (Cá nhân, 31358001, Q11) mở menu Thao tác → Xem của hồ sơ cá nhân
2. Click tab Lịch sử cập nhật</t>
  </si>
  <si>
    <t>1. Tại màn hình "Danh sách hồ sơ pháp lý" (Cá nhân, 31358001, Q11) mở menu Thao tác → Xem của hồ sơ cá nhân, chọn tab Lịch sử cập nhật
2. Click tab Thông tin hồ sơ</t>
  </si>
  <si>
    <t>1. Tại màn hình "Danh sách hồ sơ pháp lý" (Cá nhân, 31358001, Q11) mở menu Thao tác → Xem của hồ sơ cá nhân
2. Nhấn Ctrl+Tab
3. Nhấn Ctrl+Shift+Tab</t>
  </si>
  <si>
    <t>1. Tại màn hình "Danh sách hồ sơ pháp lý" (Cá nhân, 31358001, Q11) mở menu Thao tác → Xem của hồ sơ cá nhân
2. Quan sát Tên khách hàng</t>
  </si>
  <si>
    <t>1. Tại màn hình "Danh sách hồ sơ pháp lý" (Cá nhân, 31358001, Q11) mở menu Thao tác → Xem của hồ sơ cá nhân
2. Quan sát Đầu mối báo cáo</t>
  </si>
  <si>
    <t>1. Tại màn hình "Danh sách hồ sơ pháp lý" (Cá nhân, 31358001, Q11) mở menu Thao tác → Xem của hồ sơ cá nhân
2. Quan sát Mã khách hàng</t>
  </si>
  <si>
    <t>1. Tại màn hình "Danh sách hồ sơ pháp lý" (Cá nhân, 31358001, Q11) mở menu Thao tác → Xem của hồ sơ cá nhân
2. Quan sát Loại khách hàng</t>
  </si>
  <si>
    <t>1. Tại màn hình "Danh sách hồ sơ pháp lý" (Cá nhân, 31358001, Q11) mở menu Thao tác → Xem của hồ sơ cá nhân
2. Quan sát Nhóm khách hàng</t>
  </si>
  <si>
    <t>1. Tại màn hình "Danh sách hồ sơ pháp lý" (Cá nhân, 31358001, Q11) mở menu Thao tác → Xem của hồ sơ cá nhân
2. Quan sát Mã CIC</t>
  </si>
  <si>
    <t>1. Tại màn hình "Danh sách hồ sơ pháp lý" (Cá nhân, 31358001, Q11) mở menu Thao tác → Xem của hồ sơ cá nhân
2. Quan sát Tên tệp</t>
  </si>
  <si>
    <t>1. Tại màn hình "Danh sách hồ sơ pháp lý" (Cá nhân, 31358001, Q11) mở menu Thao tác → Xem của hồ sơ cá nhân
2. Click badge</t>
  </si>
  <si>
    <t>1. Tại màn hình "Danh sách hồ sơ pháp lý" (Cá nhân, 31358001, Q11) mở menu Thao tác → Xem của hồ sơ cá nhân
2. Quan sát nhóm Thông tin khai báo chung</t>
  </si>
  <si>
    <t>Hiển thị đủ KB001 với giá trị đang lưu tại CSDL (BR-028)</t>
  </si>
  <si>
    <t>1. Tại màn hình "Danh sách hồ sơ pháp lý" (Cá nhân, 31358001, Q11) mở menu Thao tác → Xem của hồ sơ cá nhân
2. Quan sát dòng KB001
3. Hover vào mã KB001</t>
  </si>
  <si>
    <t>1. Tại màn hình "Danh sách hồ sơ pháp lý" (Tổ chức, 31358001, Q11) mở menu Thao tác → Xem của hồ sơ tổ chức
2. Quan sát nhóm Thông tin định danh</t>
  </si>
  <si>
    <t>1. Tại màn hình "Danh sách hồ sơ pháp lý" (Tổ chức, 31358001, Q11) mở menu Thao tác → Xem của hồ sơ tổ chức
2. Quan sát dòng TTC03
3. Hover vào mã TTC03</t>
  </si>
  <si>
    <t>1. Tại màn hình "Danh sách hồ sơ pháp lý" (Tổ chức, 31358001, Q11) mở menu Thao tác → Xem của hồ sơ tổ chức
2. Quan sát dòng TTC04
3. Hover vào mã TTC04</t>
  </si>
  <si>
    <t>TC004, TC005, TC006, TC007</t>
  </si>
  <si>
    <t>1. Tại màn hình "Danh sách hồ sơ pháp lý" (Tổ chức, 31358001, Q11) mở menu Thao tác → Xem của hồ sơ tổ chức
2. Quan sát nhóm Thông tin chung</t>
  </si>
  <si>
    <t>Hiển thị tiêu đề nhóm "Thông tin chung" và đủ 4 chỉ tiêu TC004, TC005, TC006, TC007: mã chỉ tiêu + giá trị đang lưu; chỉ đọc (BR-028, BR-030)</t>
  </si>
  <si>
    <t>1. Tại màn hình "Danh sách hồ sơ pháp lý" (Tổ chức, 31358001, Q11) mở menu Thao tác → Xem của hồ sơ tổ chức
2. Quan sát dòng TC004
3. Hover vào mã TC004</t>
  </si>
  <si>
    <t>1. Tại màn hình "Danh sách hồ sơ pháp lý" (Tổ chức, 31358001, Q11) mở menu Thao tác → Xem của hồ sơ tổ chức
2. Quan sát dòng TC005
3. Hover vào mã TC005</t>
  </si>
  <si>
    <t>1. Tại màn hình "Danh sách hồ sơ pháp lý" (Tổ chức, 31358001, Q11) mở menu Thao tác → Xem của hồ sơ tổ chức
2. Quan sát dòng TC006
3. Hover vào mã TC006</t>
  </si>
  <si>
    <t>1. Tại màn hình "Danh sách hồ sơ pháp lý" (Tổ chức, 31358001, Q11) mở menu Thao tác → Xem của hồ sơ tổ chức
2. Quan sát dòng TC007
3. Hover vào mã TC007</t>
  </si>
  <si>
    <t>TC011, TC012, TC013, TC015</t>
  </si>
  <si>
    <t>1. Tại màn hình "Danh sách hồ sơ pháp lý" (Tổ chức, 31358001, Q11) mở menu Thao tác → Xem của hồ sơ tổ chức
2. Quan sát nhóm Thông tin pháp lý</t>
  </si>
  <si>
    <t>Hiển thị tiêu đề nhóm "Thông tin pháp lý" và đủ 4 chỉ tiêu TC011, TC012, TC013, TC015: mã chỉ tiêu + giá trị đang lưu; chỉ đọc (BR-028, BR-030)</t>
  </si>
  <si>
    <t>1. Tại màn hình "Danh sách hồ sơ pháp lý" (Tổ chức, 31358001, Q11) mở menu Thao tác → Xem của hồ sơ tổ chức
2. Quan sát dòng TC011
3. Hover vào mã TC011</t>
  </si>
  <si>
    <t>1. Tại màn hình "Danh sách hồ sơ pháp lý" (Tổ chức, 31358001, Q11) mở menu Thao tác → Xem của hồ sơ tổ chức
2. Quan sát dòng TC012
3. Hover vào mã TC012</t>
  </si>
  <si>
    <t>1. Tại màn hình "Danh sách hồ sơ pháp lý" (Tổ chức, 31358001, Q11) mở menu Thao tác → Xem của hồ sơ tổ chức
2. Quan sát dòng TC013
3. Hover vào mã TC013</t>
  </si>
  <si>
    <t>1. Tại màn hình "Danh sách hồ sơ pháp lý" (Tổ chức, 31358001, Q11) mở menu Thao tác → Xem của hồ sơ tổ chức
2. Quan sát dòng TC015
3. Hover vào mã TC015</t>
  </si>
  <si>
    <t>1. Tại màn hình "Danh sách hồ sơ pháp lý" (Tổ chức, 31358001, Q11) mở menu Thao tác → Xem của hồ sơ tổ chức
2. Quan sát nhóm Loại hình &amp; ngành nghề</t>
  </si>
  <si>
    <t>1. Tại màn hình "Danh sách hồ sơ pháp lý" (Tổ chức, 31358001, Q11) mở menu Thao tác → Xem của hồ sơ tổ chức
2. Quan sát dòng TC017
3. Hover vào mã TC017</t>
  </si>
  <si>
    <t>1. Tại màn hình "Danh sách hồ sơ pháp lý" (Tổ chức, 31358001, Q11) mở menu Thao tác → Xem của hồ sơ tổ chức
2. Quan sát dòng TC018
3. Hover vào mã TC018</t>
  </si>
  <si>
    <t>1. Tại màn hình "Danh sách hồ sơ pháp lý" (Tổ chức, 31358001, Q11) mở menu Thao tác → Xem của hồ sơ tổ chức
2. Quan sát nhóm Tổng giám đốc/Giám đốc</t>
  </si>
  <si>
    <t>1. Tại màn hình "Danh sách hồ sơ pháp lý" (Tổ chức, 31358001, Q11) mở menu Thao tác → Xem của hồ sơ tổ chức
2. Quan sát dòng TC019
3. Hover vào mã TC019</t>
  </si>
  <si>
    <t>1. Tại màn hình "Danh sách hồ sơ pháp lý" (Tổ chức, 31358001, Q11) mở menu Thao tác → Xem của hồ sơ tổ chức
2. Quan sát dòng TC020
3. Hover vào mã TC020</t>
  </si>
  <si>
    <t>1. Tại màn hình "Danh sách hồ sơ pháp lý" (Tổ chức, 31358001, Q11) mở menu Thao tác → Xem của hồ sơ tổ chức
2. Quan sát dòng TC021
3. Hover vào mã TC021</t>
  </si>
  <si>
    <t>1. Tại màn hình "Danh sách hồ sơ pháp lý" (Tổ chức, 31358001, Q11) mở menu Thao tác → Xem của hồ sơ tổ chức
2. Quan sát nhóm Thông tin thành viên</t>
  </si>
  <si>
    <t>Hiển thị tiêu đề nhóm "Thông tin thành viên" và đủ 1 chỉ tiêu TC022: mã chỉ tiêu + giá trị đang lưu; chỉ đọc (BR-028, BR-030)</t>
  </si>
  <si>
    <t>1. Tại màn hình "Danh sách hồ sơ pháp lý" (Tổ chức, 31358001, Q11) mở menu Thao tác → Xem của hồ sơ tổ chức
2. Quan sát dòng TC022
3. Hover vào mã TC022</t>
  </si>
  <si>
    <t>1. Tại màn hình "Danh sách hồ sơ pháp lý" (Tổ chức, 31358001, Q11) mở menu Thao tác → Xem của hồ sơ tổ chức
2. Hover vào mã TC004</t>
  </si>
  <si>
    <t>1. Tại màn hình "Danh sách hồ sơ pháp lý" (Cá nhân, 31358001, Q11) mở menu Thao tác → Xem của hồ sơ cá nhân
2. Quan sát nhóm Thông tin định danh</t>
  </si>
  <si>
    <t>1. Tại màn hình "Danh sách hồ sơ pháp lý" (Cá nhân, 31358001, Q11) mở menu Thao tác → Xem của hồ sơ cá nhân
2. Quan sát dòng TTC03
3. Hover vào mã TTC03</t>
  </si>
  <si>
    <t>1. Tại màn hình "Danh sách hồ sơ pháp lý" (Cá nhân, 31358001, Q11) mở menu Thao tác → Xem của hồ sơ cá nhân
2. Quan sát dòng TTC04
3. Hover vào mã TTC04</t>
  </si>
  <si>
    <t>1. Tại màn hình "Danh sách hồ sơ pháp lý" (Cá nhân, 31358001, Q11) mở menu Thao tác → Xem của hồ sơ cá nhân
2. Quan sát nhóm Thông tin chung</t>
  </si>
  <si>
    <t>1. Tại màn hình "Danh sách hồ sơ pháp lý" (Cá nhân, 31358001, Q11) mở menu Thao tác → Xem của hồ sơ cá nhân
2. Quan sát dòng CN001
3. Hover vào mã CN001</t>
  </si>
  <si>
    <t>1. Tại màn hình "Danh sách hồ sơ pháp lý" (Cá nhân, 31358001, Q11) mở menu Thao tác → Xem của hồ sơ cá nhân
2. Quan sát dòng CN002
3. Hover vào mã CN002</t>
  </si>
  <si>
    <t>1. Tại màn hình "Danh sách hồ sơ pháp lý" (Cá nhân, 31358001, Q11) mở menu Thao tác → Xem của hồ sơ cá nhân
2. Quan sát dòng CN003
3. Hover vào mã CN003</t>
  </si>
  <si>
    <t>1. Tại màn hình "Danh sách hồ sơ pháp lý" (Cá nhân, 31358001, Q11) mở menu Thao tác → Xem của hồ sơ cá nhân
2. Quan sát dòng CN004
3. Hover vào mã CN004</t>
  </si>
  <si>
    <t>1. Tại màn hình "Danh sách hồ sơ pháp lý" (Cá nhân, 31358001, Q11) mở menu Thao tác → Xem của hồ sơ cá nhân
2. Quan sát dòng CN005
3. Hover vào mã CN005</t>
  </si>
  <si>
    <t>1. Tại màn hình "Danh sách hồ sơ pháp lý" (Cá nhân, 31358001, Q11) mở menu Thao tác → Xem của hồ sơ cá nhân
2. Quan sát dòng CN006
3. Hover vào mã CN006</t>
  </si>
  <si>
    <t>1. Tại màn hình "Danh sách hồ sơ pháp lý" (Cá nhân, 31358001, Q11) mở menu Thao tác → Xem của hồ sơ cá nhân
2. Quan sát dòng CN007
3. Hover vào mã CN007</t>
  </si>
  <si>
    <t>CN008, CN009, CN010, CN011, CN012, CN014</t>
  </si>
  <si>
    <t>1. Tại màn hình "Danh sách hồ sơ pháp lý" (Cá nhân, 31358001, Q11) mở menu Thao tác → Xem của hồ sơ cá nhân
2. Quan sát nhóm Thông tin pháp lý</t>
  </si>
  <si>
    <t>Hiển thị tiêu đề nhóm "Thông tin pháp lý" và đủ 6 chỉ tiêu CN008, CN009, CN010, CN011, CN012, CN014: mã chỉ tiêu + giá trị đang lưu; chỉ đọc (BR-028, BR-030)</t>
  </si>
  <si>
    <t>1. Tại màn hình "Danh sách hồ sơ pháp lý" (Cá nhân, 31358001, Q11) mở menu Thao tác → Xem của hồ sơ cá nhân
2. Quan sát dòng CN008
3. Hover vào mã CN008</t>
  </si>
  <si>
    <t>1. Tại màn hình "Danh sách hồ sơ pháp lý" (Cá nhân, 31358001, Q11) mở menu Thao tác → Xem của hồ sơ cá nhân
2. Quan sát dòng CN009
3. Hover vào mã CN009</t>
  </si>
  <si>
    <t>1. Tại màn hình "Danh sách hồ sơ pháp lý" (Cá nhân, 31358001, Q11) mở menu Thao tác → Xem của hồ sơ cá nhân
2. Quan sát dòng CN010
3. Hover vào mã CN010</t>
  </si>
  <si>
    <t>1. Tại màn hình "Danh sách hồ sơ pháp lý" (Cá nhân, 31358001, Q11) mở menu Thao tác → Xem của hồ sơ cá nhân
2. Quan sát dòng CN011
3. Hover vào mã CN011</t>
  </si>
  <si>
    <t>1. Tại màn hình "Danh sách hồ sơ pháp lý" (Cá nhân, 31358001, Q11) mở menu Thao tác → Xem của hồ sơ cá nhân
2. Quan sát dòng CN012
3. Hover vào mã CN012</t>
  </si>
  <si>
    <t>1. Tại màn hình "Danh sách hồ sơ pháp lý" (Cá nhân, 31358001, Q11) mở menu Thao tác → Xem của hồ sơ cá nhân
2. Quan sát dòng CN014
3. Hover vào mã CN014</t>
  </si>
  <si>
    <t>1. Tại màn hình "Danh sách hồ sơ pháp lý" (Cá nhân, 31358001, Q11) mở menu Thao tác → Xem của hồ sơ cá nhân
2. Quan sát nhóm Thông tin vợ/chồng</t>
  </si>
  <si>
    <t>1. Tại màn hình "Danh sách hồ sơ pháp lý" (Cá nhân, 31358001, Q11) mở menu Thao tác → Xem của hồ sơ cá nhân
2. Quan sát dòng CN016
3. Hover vào mã CN016</t>
  </si>
  <si>
    <t>1. Tại màn hình "Danh sách hồ sơ pháp lý" (Cá nhân, 31358001, Q11) mở menu Thao tác → Xem của hồ sơ cá nhân
2. Quan sát dòng CN017
3. Hover vào mã CN017</t>
  </si>
  <si>
    <t>1. Tại màn hình "Danh sách hồ sơ pháp lý" (Cá nhân, 31358001, Q11) mở menu Thao tác → Xem của hồ sơ cá nhân
2. Quan sát nhóm Thông tin thành viên</t>
  </si>
  <si>
    <t>1. Tại màn hình "Danh sách hồ sơ pháp lý" (Cá nhân, 31358001, Q11) mở menu Thao tác → Xem của hồ sơ cá nhân
2. Quan sát dòng CN022
3. Hover vào mã CN022</t>
  </si>
  <si>
    <t>1. Tại màn hình "Danh sách hồ sơ pháp lý" (Cá nhân, 31358001, Q11) mở menu Thao tác → Xem của hồ sơ cá nhân
2. Hover vào mã CN001</t>
  </si>
  <si>
    <t>1. Tại màn hình "Danh sách hồ sơ pháp lý" (Cá nhân, 31358001, Q11) mở menu Thao tác → Xem của hồ sơ cá nhân, chọn tab Lịch sử cập nhật
2. Quan sát cột STT</t>
  </si>
  <si>
    <t>1. Tại màn hình "Danh sách hồ sơ pháp lý" (Cá nhân, 31358001, Q11) mở menu Thao tác → Xem của hồ sơ cá nhân, chọn tab Lịch sử cập nhật
2. Double-click / nhấn F2 vào ô của cột STT</t>
  </si>
  <si>
    <t>1. Tại màn hình "Danh sách hồ sơ pháp lý" (Cá nhân, 31358001, Q11) mở menu Thao tác → Xem của hồ sơ cá nhân, chọn tab Lịch sử cập nhật
2. Quan sát header cột STT</t>
  </si>
  <si>
    <t>1. Tại màn hình "Danh sách hồ sơ pháp lý" (Cá nhân, 31358001, Q11) mở menu Thao tác → Xem của hồ sơ cá nhân, chọn tab Lịch sử cập nhật
2. Quan sát cột Thời gian</t>
  </si>
  <si>
    <t>1. Tại màn hình "Danh sách hồ sơ pháp lý" (Cá nhân, 31358001, Q11) mở menu Thao tác → Xem của hồ sơ cá nhân, chọn tab Lịch sử cập nhật
2. Double-click / nhấn F2 vào ô của cột Thời gian</t>
  </si>
  <si>
    <t>1. Tại màn hình "Danh sách hồ sơ pháp lý" (Cá nhân, 31358001, Q11) mở menu Thao tác → Xem của hồ sơ cá nhân, chọn tab Lịch sử cập nhật
2. Quan sát header cột Thời gian</t>
  </si>
  <si>
    <t>1. Tại màn hình "Danh sách hồ sơ pháp lý" (Cá nhân, 31358001, Q11) mở menu Thao tác → Xem của hồ sơ cá nhân, chọn tab Lịch sử cập nhật
2. Quan sát cột Người cập nhật</t>
  </si>
  <si>
    <t>1. Tại màn hình "Danh sách hồ sơ pháp lý" (Cá nhân, 31358001, Q11) mở menu Thao tác → Xem của hồ sơ cá nhân, chọn tab Lịch sử cập nhật
2. Double-click / nhấn F2 vào ô của cột Người cập nhật</t>
  </si>
  <si>
    <t>1. Tại màn hình "Danh sách hồ sơ pháp lý" (Cá nhân, 31358001, Q11) mở menu Thao tác → Xem của hồ sơ cá nhân, chọn tab Lịch sử cập nhật
2. Quan sát header cột Người cập nhật</t>
  </si>
  <si>
    <t>1. Tại màn hình "Danh sách hồ sơ pháp lý" (Cá nhân, 31358001, Q11) mở menu Thao tác → Xem của hồ sơ cá nhân, chọn tab Lịch sử cập nhật
2. Quan sát cột Hành động</t>
  </si>
  <si>
    <t>1. Tại màn hình "Danh sách hồ sơ pháp lý" (Cá nhân, 31358001, Q11) mở menu Thao tác → Xem của hồ sơ cá nhân, chọn tab Lịch sử cập nhật
2. Double-click / nhấn F2 vào ô của cột Hành động</t>
  </si>
  <si>
    <t>1. Tại màn hình "Danh sách hồ sơ pháp lý" (Cá nhân, 31358001, Q11) mở menu Thao tác → Xem của hồ sơ cá nhân, chọn tab Lịch sử cập nhật
2. Quan sát header cột Hành động</t>
  </si>
  <si>
    <t>1. Tại màn hình "Danh sách hồ sơ pháp lý" (Cá nhân, 31358001, Q11) mở menu Thao tác → Xem của hồ sơ cá nhân, chọn tab Lịch sử cập nhật
2. Quan sát cột Giá trị cũ</t>
  </si>
  <si>
    <t>1. Tại màn hình "Danh sách hồ sơ pháp lý" (Cá nhân, 31358001, Q11) mở menu Thao tác → Xem của hồ sơ cá nhân, chọn tab Lịch sử cập nhật
2. Double-click / nhấn F2 vào ô của cột Giá trị cũ</t>
  </si>
  <si>
    <t>1. Tại màn hình "Danh sách hồ sơ pháp lý" (Cá nhân, 31358001, Q11) mở menu Thao tác → Xem của hồ sơ cá nhân, chọn tab Lịch sử cập nhật
2. Quan sát header cột Giá trị cũ</t>
  </si>
  <si>
    <t>1. Tại màn hình "Danh sách hồ sơ pháp lý" (Cá nhân, 31358001, Q11) mở menu Thao tác → Xem của hồ sơ cá nhân, chọn tab Lịch sử cập nhật
2. Quan sát cột Giá trị mới</t>
  </si>
  <si>
    <t>1. Tại màn hình "Danh sách hồ sơ pháp lý" (Cá nhân, 31358001, Q11) mở menu Thao tác → Xem của hồ sơ cá nhân, chọn tab Lịch sử cập nhật
2. Double-click / nhấn F2 vào ô của cột Giá trị mới</t>
  </si>
  <si>
    <t>1. Tại màn hình "Danh sách hồ sơ pháp lý" (Cá nhân, 31358001, Q11) mở menu Thao tác → Xem của hồ sơ cá nhân, chọn tab Lịch sử cập nhật
2. Quan sát header cột Giá trị mới</t>
  </si>
  <si>
    <t>1. Tại màn hình "Danh sách hồ sơ pháp lý" (Cá nhân, 31358001, Q11) mở menu Thao tác → Xem của hồ sơ cá nhân, chọn tab Lịch sử cập nhật
2. Quan sát cột Địa chỉ IP</t>
  </si>
  <si>
    <t>1. Tại màn hình "Danh sách hồ sơ pháp lý" (Cá nhân, 31358001, Q11) mở menu Thao tác → Xem của hồ sơ cá nhân, chọn tab Lịch sử cập nhật
2. Double-click / nhấn F2 vào ô của cột Địa chỉ IP</t>
  </si>
  <si>
    <t>1. Tại màn hình "Danh sách hồ sơ pháp lý" (Cá nhân, 31358001, Q11) mở menu Thao tác → Xem của hồ sơ cá nhân, chọn tab Lịch sử cập nhật
2. Quan sát header cột Địa chỉ IP</t>
  </si>
  <si>
    <t>1. Tại màn hình "Danh sách hồ sơ pháp lý" (Cá nhân, 31358001, Q11) mở menu Thao tác → Xem của hồ sơ cá nhân, chọn tab Lịch sử cập nhật
2. Quan sát cột Mô tả</t>
  </si>
  <si>
    <t>1. Tại màn hình "Danh sách hồ sơ pháp lý" (Cá nhân, 31358001, Q11) mở menu Thao tác → Xem của hồ sơ cá nhân, chọn tab Lịch sử cập nhật
2. Double-click / nhấn F2 vào ô của cột Mô tả</t>
  </si>
  <si>
    <t>1. Tại màn hình "Danh sách hồ sơ pháp lý" (Cá nhân, 31358001, Q11) mở menu Thao tác → Xem của hồ sơ cá nhân, chọn tab Lịch sử cập nhật
2. Quan sát header cột Mô tả</t>
  </si>
  <si>
    <t>1. Tại màn hình "Danh sách hồ sơ pháp lý" (Cá nhân, 31358001, Q11) mở menu Thao tác → Xem của hồ sơ cá nhân, chọn tab Lịch sử cập nhật</t>
  </si>
  <si>
    <t>1. Tại màn hình "Danh sách hồ sơ pháp lý" (Cá nhân, 31358001, Q11) mở menu Thao tác → Xem của hồ sơ cá nhân
2. Quan sát nút Đóng</t>
  </si>
  <si>
    <t>Nút "Đóng" ở cuối popup "Xem chi tiết hồ sơ pháp lý tệp Q11"</t>
  </si>
  <si>
    <t>1. Tại màn hình "Danh sách hồ sơ pháp lý" (Cá nhân, 31358001, Q11) mở menu Thao tác → Xem của hồ sơ cá nhân
2. Quan sát trạng thái nút Đóng theo từng điều kiện</t>
  </si>
  <si>
    <t>1. Tại màn hình "Danh sách hồ sơ pháp lý" (Cá nhân, 31358001, Q11) mở menu Thao tác → Xem của hồ sơ cá nhân
2. Click nút Đóng</t>
  </si>
  <si>
    <t>Xem hồ sơ Q11 trạng thái Chờ cấp mã</t>
  </si>
  <si>
    <t>Hồ sơ Q11 – Chờ cấp mã</t>
  </si>
  <si>
    <t>1. Tìm kiếm hồ sơ tệp Q11 trạng thái Chờ cấp mã
2. Menu Thao tác → Xem</t>
  </si>
  <si>
    <t>Mở popup "Xem chi tiết hồ sơ pháp lý tệp Q11" ở tab Thông tin hồ sơ; mọi giá trị đúng giá trị đang lưu tại CSDL (BR-028)
SQL đối soát (mẫu):
SELECT * FROM &lt;HO_SO_PHAP_LY&gt; WHERE LOAI_DU_LIEU = 'Pháp lý' AND TRANG_THAI_DU_LIEU = 'Hợp lệ' AND MA_TEP IN ('D10','D11','Q11') AND MA_KH = '&lt;mã KH&gt;' AND MA_DAU_MOI = '31358001' AND TRANG_THAI = 'Chờ cấp mã' ORDER BY NGAY_CAP_NHAT DESC;</t>
  </si>
  <si>
    <t>Xem hồ sơ Q11 trạng thái Chờ xem xét</t>
  </si>
  <si>
    <t>Hồ sơ Q11 – Chờ xem xét</t>
  </si>
  <si>
    <t>1. Tìm kiếm hồ sơ tệp Q11 trạng thái Chờ xem xét
2. Menu Thao tác → Xem</t>
  </si>
  <si>
    <t>Mở popup "Xem chi tiết hồ sơ pháp lý tệp Q11" ở tab Thông tin hồ sơ; mọi giá trị đúng giá trị đang lưu tại CSDL (BR-028)
SQL đối soát (mẫu):
SELECT * FROM &lt;HO_SO_PHAP_LY&gt; WHERE LOAI_DU_LIEU = 'Pháp lý' AND TRANG_THAI_DU_LIEU = 'Hợp lệ' AND MA_TEP IN ('D10','D11','Q11') AND MA_KH = '&lt;mã KH&gt;' AND MA_DAU_MOI = '31358001' AND TRANG_THAI = 'Chờ xem xét' ORDER BY NGAY_CAP_NHAT DESC;</t>
  </si>
  <si>
    <t>Xem hồ sơ Q11 trạng thái Đã xử lý</t>
  </si>
  <si>
    <t>Hồ sơ Q11 – Đã xử lý</t>
  </si>
  <si>
    <t>1. Tìm kiếm hồ sơ tệp Q11 trạng thái Đã xử lý
2. Menu Thao tác → Xem</t>
  </si>
  <si>
    <t>Mở popup "Xem chi tiết hồ sơ pháp lý tệp Q11" ở tab Thông tin hồ sơ; mọi giá trị đúng giá trị đang lưu tại CSDL (BR-028)
SQL đối soát (mẫu):
SELECT * FROM &lt;HO_SO_PHAP_LY&gt; WHERE LOAI_DU_LIEU = 'Pháp lý' AND TRANG_THAI_DU_LIEU = 'Hợp lệ' AND MA_TEP IN ('D10','D11','Q11') AND MA_KH = '&lt;mã KH&gt;' AND MA_DAU_MOI = '31358001' AND TRANG_THAI = 'Đã xử lý' ORDER BY NGAY_CAP_NHAT DESC;</t>
  </si>
  <si>
    <t>Xem hồ sơ Q11 trạng thái Từ chối</t>
  </si>
  <si>
    <t>Hồ sơ Q11 – Từ chối</t>
  </si>
  <si>
    <t>1. Tìm kiếm hồ sơ tệp Q11 trạng thái Từ chối
2. Menu Thao tác → Xem</t>
  </si>
  <si>
    <t>Mở popup "Xem chi tiết hồ sơ pháp lý tệp Q11" ở tab Thông tin hồ sơ; mọi giá trị đúng giá trị đang lưu tại CSDL (BR-028)
SQL đối soát (mẫu):
SELECT * FROM &lt;HO_SO_PHAP_LY&gt; WHERE LOAI_DU_LIEU = 'Pháp lý' AND TRANG_THAI_DU_LIEU = 'Hợp lệ' AND MA_TEP IN ('D10','D11','Q11') AND MA_KH = '&lt;mã KH&gt;' AND MA_DAU_MOI = '31358001' AND TRANG_THAI = 'Từ chối' ORDER BY NGAY_CAP_NHAT DESC;</t>
  </si>
  <si>
    <t>1. Tại màn hình "Danh sách hồ sơ pháp lý" (Tổ chức, 31358001, Q11) mở menu Thao tác → Xem của hồ sơ tổ chức</t>
  </si>
  <si>
    <t>Chỉ hiển thị KB001, TTC03, TTC04, TC004–TC007, TC011–TC013, TC015, TC017–TC022 (FEAT-03 AC#2)</t>
  </si>
  <si>
    <t>Chỉ hiển thị KB001, TTC03, TTC04, CN001–CN012, CN014, CN016, CN017, CN022 (FEAT-03 AC#3)</t>
  </si>
  <si>
    <t>1. Tại màn hình "Danh sách hồ sơ pháp lý" (Cá nhân, 31358001, Q11) mở menu Thao tác → Xem của hồ sơ cá nhân
2. Đối chiếu từng chỉ tiêu với CSDL</t>
  </si>
  <si>
    <t>1. Tại màn hình "Danh sách hồ sơ pháp lý" (Cá nhân, 31358001, Q11) mở menu Thao tác → Xem của hồ sơ cá nhân, chọn tab Lịch sử cập nhật
2. Hover vào cbxl01</t>
  </si>
  <si>
    <t>1. Tại màn hình "Danh sách hồ sơ pháp lý" (Cá nhân, 31358001, Q11) mở menu Thao tác của hồ sơ cá nhân
2. Click Xem</t>
  </si>
  <si>
    <t>1. Tại màn hình "Danh sách hồ sơ pháp lý" (Cá nhân, 31358001, Q11) mở menu Thao tác của hồ sơ cá nhân
2. Chờ token hết hạn
3. Click Xem</t>
  </si>
  <si>
    <t>1. Tại màn hình "Danh sách hồ sơ pháp lý" (Cá nhân, 31358001, Q11) mở menu Thao tác của hồ sơ cá nhân
2. Thu hồi quyền của cbxl01
3. Click Xem</t>
  </si>
  <si>
    <t>1. Tại màn hình "Danh sách hồ sơ pháp lý" (Cá nhân, 31358001, Q11) mở menu Thao tác → Xem của hồ sơ cá nhân
2. Chờ token hết hạn
3. Click tab Lịch sử cập nhật</t>
  </si>
  <si>
    <t>1. Tại màn hình "Danh sách hồ sơ pháp lý" (Cá nhân, 31358001, Q11) mở menu Thao tác → Xem của hồ sơ cá nhân
2. Thu hồi quyền của cbxl01
3. Click tab Lịch sử cập nhật</t>
  </si>
  <si>
    <t>Mở được popup "Xem chi tiết hồ sơ pháp lý tệp Q11" (Ma trận phân quyền)</t>
  </si>
  <si>
    <t xml:space="preserve">Pre-condition:
- Đăng nhập tài khoản cbxl01 (ROLE-CBTTXLDL, phân quyền TCTD 31358001 và 79202501)
- Menu: Thu thập và xử lý dữ liệu &gt; Xử lý dữ liệu &gt; Hồ sơ pháp lý
- Kho tiền dữ liệu có hồ sơ pháp lý hợp lệ tệp D10, D11, Q11 của cả KH Cá nhân và Tổ chức, ở đủ 4 trạng thái Chờ cấp mã / Chờ xem xét / Đã xử lý / Từ chối
- Có hồ sơ Chờ xem xét của 31358001 có ≥ 3 phiên bản tại kho TCTD cùng Mã CIC và đầu mối; KH có hồ sơ tại CIC (có/không cờ C06)
- Danh mục chỉ tiêu đánh dấu quan trọng: TTC04, CN001, CN005, CN006, CN008, CN010, CN016, TC004–TC006, TC011
- Tài khoản cbxl02 (ROLE-CBTTXLDL, phân quyền TCTD 31358001) để kiểm tra xử lý đồng thời giữa 2 cán bộ
</t>
  </si>
  <si>
    <t>Hiển thị popup "Xử lý hồ sơ pháp lý tệp D10/D11" khi mở</t>
  </si>
  <si>
    <t>1. Tại màn hình "Danh sách hồ sơ pháp lý" (Cá nhân, 31358001, D11) mở menu Thao tác → Xử lý hồ sơ của hồ sơ Chờ xem xét
2. Quan sát popup "Xử lý hồ sơ pháp lý tệp D10/D11"</t>
  </si>
  <si>
    <t>Popup "Xử lý hồ sơ pháp lý tệp D10/D11" hiển thị:
- Thẻ hồ sơ đang xem xét: Tên KH, Mã khách hàng, Loại khách hàng, Đầu mối báo cáo, Ngày báo cáo, Trạng thái
- Thẻ Hồ sơ tại CIC: Mã CIC, Loại khách hàng, TCTD có liên quan
- Dòng "So sánh thông tin chỉ tiêu": tóm tắt số khác biệt, chú thích ★ / ô tô nền, công tắc "Chỉ hiện chỉ tiêu khác biệt" (tắt)
- Bảng 3 cột giá trị: Hồ sơ đang xem xét / Hồ sơ khách hàng tại TCTD (ô chọn Ngày báo cáo) / Hồ sơ khách hàng tại CIC (nhãn C06)
- Nút Hủy, Từ chối, Cập nhật</t>
  </si>
  <si>
    <t>1. Tại màn hình "Danh sách hồ sơ pháp lý" (Cá nhân, 31358001, D11) mở menu Thao tác → Xử lý hồ sơ của hồ sơ Chờ xem xét
2. Quan sát toàn bộ label, control, button</t>
  </si>
  <si>
    <t>1. Tại màn hình "Danh sách hồ sơ pháp lý" (Cá nhân, 31358001, D11) mở menu Thao tác → Xử lý hồ sơ của hồ sơ Chờ xem xét
2. Nhấn phím Tab liên tục</t>
  </si>
  <si>
    <t>Con trỏ di chuyển lần lượt: công tắc → ô chọn Ngày báo cáo → bảng → Hủy → Từ chối → Cập nhật</t>
  </si>
  <si>
    <t>1. Tại màn hình "Danh sách hồ sơ pháp lý" (Cá nhân, 31358001, D11) mở menu Thao tác → Xử lý hồ sơ của hồ sơ Chờ xem xét
2. Focus control cuối cùng
3. Nhấn Shift+Tab liên tục</t>
  </si>
  <si>
    <t>1. Tại màn hình "Danh sách hồ sơ pháp lý" (Cá nhân, 31358001, D11) mở menu Thao tác → Xử lý hồ sơ của hồ sơ Chờ xem xét
2. Focus control
3. Nhấn phím Enter</t>
  </si>
  <si>
    <t>Focus nút và nhấn Enter → thực hiện chức năng của nút</t>
  </si>
  <si>
    <t>1. Tại màn hình "Danh sách hồ sơ pháp lý" (Cá nhân, 31358001, D11) mở menu Thao tác → Xử lý hồ sơ của hồ sơ Chờ xem xét
2. Nhấn Ctrl+− / Ctrl+= để đổi mức zoom</t>
  </si>
  <si>
    <t>1. Tại màn hình "Danh sách hồ sơ pháp lý" (Cá nhân, 31358001, D11) mở menu Thao tác → Xử lý hồ sơ của hồ sơ Chờ xem xét
2. Rà các nhãn, giá trị có từ viết tắt</t>
  </si>
  <si>
    <t>1. Tại màn hình "Danh sách hồ sơ pháp lý" (Cá nhân, 31358001, D11) mở menu Thao tác → Xử lý hồ sơ của hồ sơ Chờ xem xét
2. Quan sát các button: Hủy, Từ chối, Cập nhật</t>
  </si>
  <si>
    <t>1. Tại màn hình "Danh sách hồ sơ pháp lý" (Cá nhân, 31358001, D11) mở menu Thao tác → Xử lý hồ sơ của hồ sơ Chờ xem xét
2. Quan sát trạng thái các button</t>
  </si>
  <si>
    <t>Hiển thị đúng trạng thái theo điều kiện SRS; chỉ có duy nhất 1 Primary button (Cập nhật) trong một khu vực</t>
  </si>
  <si>
    <t>1. Tại màn hình "Danh sách hồ sơ pháp lý" (Cá nhân, 31358001, D11) mở menu Thao tác → Xử lý hồ sơ của hồ sơ Chờ xem xét
2. Click lần lượt từng button</t>
  </si>
  <si>
    <t>1. Tại màn hình "Danh sách hồ sơ pháp lý" (Cá nhân, 31358001, D11) mở menu Thao tác → Xử lý hồ sơ của hồ sơ Chờ xem xét
2. Click button gọi API
3. Click tiếp nhiều lần khi đang xử lý</t>
  </si>
  <si>
    <t>1. Tại màn hình "Danh sách hồ sơ pháp lý" (Cá nhân, 31358001, D11) mở menu Thao tác → Xử lý hồ sơ của hồ sơ Chờ xem xét
2. Chọn điều kiện, Tìm kiếm
3. Nhấn F5 hoặc chuyển sang chức năng khác rồi quay lại</t>
  </si>
  <si>
    <t>Kiểm tra title Xử lý hồ sơ pháp lý</t>
  </si>
  <si>
    <t>1. Tại màn hình "Danh sách hồ sơ pháp lý" (Cá nhân, 31358001, D11) mở menu Thao tác → Xử lý hồ sơ của hồ sơ Chờ xem xét
2. Kiểm tra hiển thị title</t>
  </si>
  <si>
    <t>Title cố định mặc định: "Xử lý hồ sơ pháp lý"</t>
  </si>
  <si>
    <t>1. Tại màn hình "Danh sách hồ sơ pháp lý" (Cá nhân, 31358001, D11) mở menu Thao tác → Xử lý hồ sơ của hồ sơ Chờ xem xét
2. Click / thử nhập vào title</t>
  </si>
  <si>
    <t>Kiểm tra thẻ hồ sơ đang xem xét</t>
  </si>
  <si>
    <t>Kiểm tra hiển thị tên khách hàng</t>
  </si>
  <si>
    <t>1. Tại màn hình "Danh sách hồ sơ pháp lý" (Cá nhân, 31358001, D11) mở menu Thao tác → Xử lý hồ sơ của hồ sơ Chờ xem xét
2. Quan sát Tên khách hàng</t>
  </si>
  <si>
    <t>Hiển thị TTC04 của hồ sơ đang xem xét; chỉ đọc</t>
  </si>
  <si>
    <t>Kiểm tra hiển thị mã khách hàng</t>
  </si>
  <si>
    <t>1. Tại màn hình "Danh sách hồ sơ pháp lý" (Cá nhân, 31358001, D11) mở menu Thao tác → Xử lý hồ sơ của hồ sơ Chờ xem xét
2. Quan sát Mã khách hàng</t>
  </si>
  <si>
    <t>Hiển thị TTC03, cùng dòng với Mã CIC ở thẻ phải (BR-047); chỉ đọc</t>
  </si>
  <si>
    <t>Kiểm tra hiển thị loại khách hàng</t>
  </si>
  <si>
    <t>1. Tại màn hình "Danh sách hồ sơ pháp lý" (Cá nhân, 31358001, D11) mở menu Thao tác → Xử lý hồ sơ của hồ sơ Chờ xem xét
2. Quan sát Loại khách hàng</t>
  </si>
  <si>
    <t>Hiển thị TTC05; chỉ đọc</t>
  </si>
  <si>
    <t>Kiểm tra hiển thị đầu mối báo cáo</t>
  </si>
  <si>
    <t>1. Tại màn hình "Danh sách hồ sơ pháp lý" (Cá nhân, 31358001, D11) mở menu Thao tác → Xử lý hồ sơ của hồ sơ Chờ xem xét
2. Quan sát Đầu mối báo cáo</t>
  </si>
  <si>
    <t>Hiển thị TTC00 dạng mã - tên; chỉ đọc</t>
  </si>
  <si>
    <t>Kiểm tra hiển thị ngày báo cáo</t>
  </si>
  <si>
    <t>Hiển thị Ngày báo cáo</t>
  </si>
  <si>
    <t>1. Tại màn hình "Danh sách hồ sơ pháp lý" (Cá nhân, 31358001, D11) mở menu Thao tác → Xử lý hồ sơ của hồ sơ Chờ xem xét
2. Quan sát Ngày báo cáo</t>
  </si>
  <si>
    <t>Hiển thị KB001, DD/MM/YYYY; chỉ đọc</t>
  </si>
  <si>
    <t>Kiểm tra hiển thị trạng thái</t>
  </si>
  <si>
    <t>Hiển thị Trạng thái</t>
  </si>
  <si>
    <t>1. Tại màn hình "Danh sách hồ sơ pháp lý" (Cá nhân, 31358001, D11) mở menu Thao tác → Xử lý hồ sơ của hồ sơ Chờ xem xét
2. Quan sát Trạng thái</t>
  </si>
  <si>
    <t>Hiển thị Badge "Chờ xem xét" màu cam; chỉ đọc</t>
  </si>
  <si>
    <t>Kiểm tra thẻ Hồ sơ tại CIC</t>
  </si>
  <si>
    <t>Kiểm tra hiển thị mã CIC</t>
  </si>
  <si>
    <t>Mã CIC chỉ xem</t>
  </si>
  <si>
    <t>1. Tại màn hình "Danh sách hồ sơ pháp lý" (Cá nhân, 31358001, D11) mở menu Thao tác → Xử lý hồ sơ của hồ sơ Chờ xem xét
2. Quan sát Mã CIC
3. Thử click / sửa Mã CIC</t>
  </si>
  <si>
    <t>Hiển thị Mã CIC của KH, không chọn được mã khác (mục 7 bảng thành phần của popup "Xử lý hồ sơ pháp lý tệp D10/D11")</t>
  </si>
  <si>
    <t>Kiểm tra hiển thị loại khách hàng tại CIC</t>
  </si>
  <si>
    <t>TTC05 tại kho chuẩn</t>
  </si>
  <si>
    <t>1. Tại màn hình "Danh sách hồ sơ pháp lý" (Cá nhân, 31358001, D11) mở menu Thao tác → Xử lý hồ sơ của hồ sơ Chờ xem xét</t>
  </si>
  <si>
    <t>Hiển thị TTC05 của hồ sơ tại kho chuẩn CIC (BR-047)</t>
  </si>
  <si>
    <t>Kiểm tra hiển thị TCTD có liên quan</t>
  </si>
  <si>
    <t>Danh sách mã TCTD</t>
  </si>
  <si>
    <t>KH được 3 TCTD báo cáo</t>
  </si>
  <si>
    <t>Hiển thị mã các TCTD/CNTCTD còn hiệu lực ngăn cách bằng ";" (BR-047, assumption Q15)</t>
  </si>
  <si>
    <t>Kiểm tra tooltip TCTD có liên quan</t>
  </si>
  <si>
    <t>Hover một mã TCTD</t>
  </si>
  <si>
    <t>68202001</t>
  </si>
  <si>
    <t>1. Tại màn hình "Danh sách hồ sơ pháp lý" (Cá nhân, 31358001, D11) mở menu Thao tác → Xử lý hồ sơ của hồ sơ Chờ xem xét
2. Hover mã 68202001</t>
  </si>
  <si>
    <t>Tooltip tên đầy đủ TCTD/CNTCTD lấy từ NV-16</t>
  </si>
  <si>
    <t>Kiểm tra thứ tự dòng hai thẻ</t>
  </si>
  <si>
    <t>Căn hàng giữa 2 thẻ</t>
  </si>
  <si>
    <t>Hai thẻ cùng thứ tự dòng: mã, Loại khách hàng, Đầu mối báo cáo / TCTD có liên quan (BR-047)</t>
  </si>
  <si>
    <t>Kiểm tra tóm tắt khác biệt</t>
  </si>
  <si>
    <t>Kiểm tra hiển thị tóm tắt và chú thích</t>
  </si>
  <si>
    <t>Dòng So sánh thông tin chỉ tiêu</t>
  </si>
  <si>
    <t>5 chỉ tiêu khác, 1 quan trọng</t>
  </si>
  <si>
    <t>Hiển thị "5 chỉ tiêu khác biệt, 1 chỉ tiêu quan trọng", chú thích "★ Chỉ tiêu quan trọng", "Dữ liệu thay đổi" (BR-045, assumption Q10, Q42)</t>
  </si>
  <si>
    <t>Kiểm tra Checkbox Chỉ hiện chỉ tiêu khác biệt (công tắc)</t>
  </si>
  <si>
    <t>Hiển thị checkbox Chỉ hiện chỉ tiêu khác biệt (công tắc)</t>
  </si>
  <si>
    <t>1. Tại màn hình "Danh sách hồ sơ pháp lý" (Cá nhân, 31358001, D11) mở menu Thao tác → Xử lý hồ sơ của hồ sơ Chờ xem xét
2. Quan sát checkbox Chỉ hiện chỉ tiêu khác biệt (công tắc)</t>
  </si>
  <si>
    <t>Tắt (mặc định ở màn xử lý một hồ sơ — BR-045)</t>
  </si>
  <si>
    <t>1. Tại màn hình "Danh sách hồ sơ pháp lý" (Cá nhân, 31358001, D11) mở menu Thao tác → Xử lý hồ sơ của hồ sơ Chờ xem xét
2. Tick checkbox Chỉ hiện chỉ tiêu khác biệt (công tắc)</t>
  </si>
  <si>
    <t>Bảng chỉ hiển thị dòng chỉ tiêu khác biệt và tiêu đề nhóm chứa chúng (BR-045, AC#6)</t>
  </si>
  <si>
    <t>1. Tại màn hình "Danh sách hồ sơ pháp lý" (Cá nhân, 31358001, D11) mở menu Thao tác → Xử lý hồ sơ của hồ sơ Chờ xem xét
2. Tick rồi bỏ tick checkbox Chỉ hiện chỉ tiêu khác biệt (công tắc)</t>
  </si>
  <si>
    <t>Bảng hiển thị đủ mọi chỉ tiêu</t>
  </si>
  <si>
    <t>1. Tại màn hình "Danh sách hồ sơ pháp lý" (Cá nhân, 31358001, D11) mở menu Thao tác → Xử lý hồ sơ của hồ sơ Chờ xem xét
2. Focus checkbox Chỉ hiện chỉ tiêu khác biệt (công tắc) bằng Tab
3. Nhấn Space</t>
  </si>
  <si>
    <t>Kiểm tra trạng thái loading của công tắc</t>
  </si>
  <si>
    <t>Công tắc khi đang xử lý</t>
  </si>
  <si>
    <t>Giả lập mạng chậm, hồ sơ nhiều chỉ tiêu</t>
  </si>
  <si>
    <t>1. Tại màn hình "Danh sách hồ sơ pháp lý" (Cá nhân, 31358001, D11) mở menu Thao tác → Xử lý hồ sơ của hồ sơ Chờ xem xét
2. Bật / tắt công tắc
3. Click tiếp công tắc nhiều lần khi đang xử lý</t>
  </si>
  <si>
    <t>Công tắc hiển thị trạng thái loading và không nhận thao tác lặp cho tới khi bảng lọc xong (Quy tắc component — Switch; GAP-05)</t>
  </si>
  <si>
    <t>Kiểm tra Dropdown Ngày báo cáo (cột Hồ sơ khách hàng tại TCTD)</t>
  </si>
  <si>
    <t>Hiển thị Dropdown Ngày báo cáo (cột Hồ sơ khách hàng tại TCTD)</t>
  </si>
  <si>
    <t>1. Tại màn hình "Danh sách hồ sơ pháp lý" (Cá nhân, 31358001, D11) mở menu Thao tác → Xử lý hồ sơ của hồ sơ Chờ xem xét
2. Quan sát Dropdown Ngày báo cáo (cột Hồ sơ khách hàng tại TCTD)</t>
  </si>
  <si>
    <t>1. Tại màn hình "Danh sách hồ sơ pháp lý" (Cá nhân, 31358001, D11) mở menu Thao tác → Xử lý hồ sơ của hồ sơ Chờ xem xét
2. Quan sát giá trị Dropdown Ngày báo cáo (cột Hồ sơ khách hàng tại TCTD)</t>
  </si>
  <si>
    <t>Mặc định phiên bản mới nhất theo Ngày báo cáo (BR-032)</t>
  </si>
  <si>
    <t>1. Tại màn hình "Danh sách hồ sơ pháp lý" (Cá nhân, 31358001, D11) mở menu Thao tác → Xử lý hồ sơ của hồ sơ Chờ xem xét
2. Quan sát placeholder Dropdown Ngày báo cáo (cột Hồ sơ khách hàng tại TCTD)</t>
  </si>
  <si>
    <t>Không áp dụng — luôn có giá trị</t>
  </si>
  <si>
    <t>1. Tại màn hình "Danh sách hồ sơ pháp lý" (Cá nhân, 31358001, D11) mở menu Thao tác → Xử lý hồ sơ của hồ sơ Chờ xem xét
2. Quan sát nhãn / dấu (*) của Ngày báo cáo (cột Hồ sơ khách hàng tại TCTD)</t>
  </si>
  <si>
    <t>Không đánh dấu (*); luôn có một phiên bản được chọn</t>
  </si>
  <si>
    <t>1. Tại màn hình "Danh sách hồ sơ pháp lý" (Cá nhân, 31358001, D11) mở menu Thao tác → Xử lý hồ sơ của hồ sơ Chờ xem xét
2. Click mở Dropdown Ngày báo cáo (cột Hồ sơ khách hàng tại TCTD)</t>
  </si>
  <si>
    <t>Tối đa 3 phiên bản mới nhất theo Ngày báo cáo, cùng Mã CIC và cùng đầu mối, không gồm chính hồ sơ đang xem xét (BR-032, Q03); định dạng DD/MM/YYYY</t>
  </si>
  <si>
    <t>1. Tại màn hình "Danh sách hồ sơ pháp lý" (Cá nhân, 31358001, D11) mở menu Thao tác → Xử lý hồ sơ của hồ sơ Chờ xem xét, nhấn Tab/Shift+Tab focus vào Dropdown Ngày báo cáo (cột Hồ sơ khách hàng tại TCTD)
2. Nhấn phím Enter
3. Nhấn phím Up/Down
4. Nhấn phím Enter khi đang focus một giá trị
5. Nhấn Tab/Shift+Tab</t>
  </si>
  <si>
    <t>1. Tại màn hình "Danh sách hồ sơ pháp lý" (Cá nhân, 31358001, D11) mở menu Thao tác → Xử lý hồ sơ của hồ sơ Chờ xem xét
2. Mở Dropdown Ngày báo cáo (cột Hồ sơ khách hàng tại TCTD)</t>
  </si>
  <si>
    <t>1. Tại màn hình "Danh sách hồ sơ pháp lý" (Cá nhân, 31358001, D11) mở menu Thao tác → Xử lý hồ sơ của hồ sơ Chờ xem xét
2. Mở Dropdown Ngày báo cáo (cột Hồ sơ khách hàng tại TCTD)
3. Cuộn danh sách</t>
  </si>
  <si>
    <t>1. Tại màn hình "Danh sách hồ sơ pháp lý" (Cá nhân, 31358001, D11) mở menu Thao tác → Xử lý hồ sơ của hồ sơ Chờ xem xét
2. Mở Dropdown Ngày báo cáo (cột Hồ sơ khách hàng tại TCTD)
3. Click một option</t>
  </si>
  <si>
    <t>1. Tại màn hình "Danh sách hồ sơ pháp lý" (Cá nhân, 31358001, D11) mở menu Thao tác → Xử lý hồ sơ của hồ sơ Chờ xem xét
2. Chọn option thứ nhất
3. Mở lại và chọn option thứ hai</t>
  </si>
  <si>
    <t>1. Tại màn hình "Danh sách hồ sơ pháp lý" (Cá nhân, 31358001, D11) mở menu Thao tác → Xử lý hồ sơ của hồ sơ Chờ xem xét
2. Chọn một option
3. Thực hiện bỏ chọn (icon x / phím Delete)</t>
  </si>
  <si>
    <t>1. Tại màn hình "Danh sách hồ sơ pháp lý" (Cá nhân, 31358001, D11) mở menu Thao tác → Xử lý hồ sơ của hồ sơ Chờ xem xét
2. Thử xóa giá trị của Dropdown Ngày báo cáo (cột Hồ sơ khách hàng tại TCTD)</t>
  </si>
  <si>
    <t>Kiểm tra cột Chỉ tiêu</t>
  </si>
  <si>
    <t>Hiển thị cột Chỉ tiêu</t>
  </si>
  <si>
    <t>1. Tại màn hình "Danh sách hồ sơ pháp lý" (Cá nhân, 31358001, D11) mở menu Thao tác → Xử lý hồ sơ của hồ sơ Chờ xem xét
2. Quan sát cột Chỉ tiêu</t>
  </si>
  <si>
    <t>Mã chỉ tiêu; ★ trước mã chỉ tiêu quan trọng; hover hiển thị tên chỉ tiêu; nhóm theo tiêu đề nhóm (BR-030, BR-035)</t>
  </si>
  <si>
    <t>Cột Chỉ tiêu chỉ đọc</t>
  </si>
  <si>
    <t>1. Tại màn hình "Danh sách hồ sơ pháp lý" (Cá nhân, 31358001, D11) mở menu Thao tác → Xử lý hồ sơ của hồ sơ Chờ xem xét
2. Double-click / nhấn F2 vào ô của cột Chỉ tiêu</t>
  </si>
  <si>
    <t>Cột Chỉ tiêu không có ô lọc</t>
  </si>
  <si>
    <t>1. Tại màn hình "Danh sách hồ sơ pháp lý" (Cá nhân, 31358001, D11) mở menu Thao tác → Xử lý hồ sơ của hồ sơ Chờ xem xét
2. Quan sát header cột Chỉ tiêu</t>
  </si>
  <si>
    <t>Cột Chỉ tiêu không có icon/ô lọc (Quy tắc component: STT, Thao tác không lọc; SRS không mô tả lọc cho bảng này)</t>
  </si>
  <si>
    <t>Căn lề cột Chỉ tiêu</t>
  </si>
  <si>
    <t>Kiểm tra cột Hồ sơ đang xem xét</t>
  </si>
  <si>
    <t>Hiển thị cột Hồ sơ đang xem xét</t>
  </si>
  <si>
    <t>1. Tại màn hình "Danh sách hồ sơ pháp lý" (Cá nhân, 31358001, D11) mở menu Thao tác → Xử lý hồ sơ của hồ sơ Chờ xem xét
2. Quan sát cột Hồ sơ đang xem xét</t>
  </si>
  <si>
    <t>Giá trị chỉ tiêu của hồ sơ đang xem xét — mốc so sánh (BR-036)</t>
  </si>
  <si>
    <t>Cột Hồ sơ đang xem xét chỉ đọc</t>
  </si>
  <si>
    <t>1. Tại màn hình "Danh sách hồ sơ pháp lý" (Cá nhân, 31358001, D11) mở menu Thao tác → Xử lý hồ sơ của hồ sơ Chờ xem xét
2. Double-click / nhấn F2 vào ô của cột Hồ sơ đang xem xét</t>
  </si>
  <si>
    <t>Cột Hồ sơ đang xem xét không có ô lọc</t>
  </si>
  <si>
    <t>1. Tại màn hình "Danh sách hồ sơ pháp lý" (Cá nhân, 31358001, D11) mở menu Thao tác → Xử lý hồ sơ của hồ sơ Chờ xem xét
2. Quan sát header cột Hồ sơ đang xem xét</t>
  </si>
  <si>
    <t>Cột Hồ sơ đang xem xét không có icon/ô lọc (Quy tắc component: STT, Thao tác không lọc; SRS không mô tả lọc cho bảng này)</t>
  </si>
  <si>
    <t>Căn lề cột Hồ sơ đang xem xét</t>
  </si>
  <si>
    <t>Kiểm tra cột Hồ sơ khách hàng tại TCTD</t>
  </si>
  <si>
    <t>Hiển thị cột Hồ sơ khách hàng tại TCTD</t>
  </si>
  <si>
    <t>1. Tại màn hình "Danh sách hồ sơ pháp lý" (Cá nhân, 31358001, D11) mở menu Thao tác → Xử lý hồ sơ của hồ sơ Chờ xem xét
2. Quan sát cột Hồ sơ khách hàng tại TCTD</t>
  </si>
  <si>
    <t>Giá trị theo phiên bản Ngày báo cáo đang chọn; ô khác mốc được tô nền (BR-032, BR-037)</t>
  </si>
  <si>
    <t>Cột Hồ sơ khách hàng tại TCTD chỉ đọc</t>
  </si>
  <si>
    <t>1. Tại màn hình "Danh sách hồ sơ pháp lý" (Cá nhân, 31358001, D11) mở menu Thao tác → Xử lý hồ sơ của hồ sơ Chờ xem xét
2. Double-click / nhấn F2 vào ô của cột Hồ sơ khách hàng tại TCTD</t>
  </si>
  <si>
    <t>Cột Hồ sơ khách hàng tại TCTD không có ô lọc</t>
  </si>
  <si>
    <t>1. Tại màn hình "Danh sách hồ sơ pháp lý" (Cá nhân, 31358001, D11) mở menu Thao tác → Xử lý hồ sơ của hồ sơ Chờ xem xét
2. Quan sát header cột Hồ sơ khách hàng tại TCTD</t>
  </si>
  <si>
    <t>Cột Hồ sơ khách hàng tại TCTD không có icon/ô lọc (Quy tắc component: STT, Thao tác không lọc; SRS không mô tả lọc cho bảng này)</t>
  </si>
  <si>
    <t>Căn lề cột Hồ sơ khách hàng tại TCTD</t>
  </si>
  <si>
    <t>Kiểm tra cột Hồ sơ khách hàng tại CIC</t>
  </si>
  <si>
    <t>Hiển thị cột Hồ sơ khách hàng tại CIC</t>
  </si>
  <si>
    <t>1. Tại màn hình "Danh sách hồ sơ pháp lý" (Cá nhân, 31358001, D11) mở menu Thao tác → Xử lý hồ sơ của hồ sơ Chờ xem xét
2. Quan sát cột Hồ sơ khách hàng tại CIC</t>
  </si>
  <si>
    <t>Giá trị phiên bản duy nhất tại kho chuẩn CIC theo Mã CIC; ô khác mốc được tô nền; nhãn C06 cạnh tiêu đề khi đã xác thực (BR-033, BR-034)</t>
  </si>
  <si>
    <t>Cột Hồ sơ khách hàng tại CIC chỉ đọc</t>
  </si>
  <si>
    <t>1. Tại màn hình "Danh sách hồ sơ pháp lý" (Cá nhân, 31358001, D11) mở menu Thao tác → Xử lý hồ sơ của hồ sơ Chờ xem xét
2. Double-click / nhấn F2 vào ô của cột Hồ sơ khách hàng tại CIC</t>
  </si>
  <si>
    <t>Cột Hồ sơ khách hàng tại CIC không có ô lọc</t>
  </si>
  <si>
    <t>1. Tại màn hình "Danh sách hồ sơ pháp lý" (Cá nhân, 31358001, D11) mở menu Thao tác → Xử lý hồ sơ của hồ sơ Chờ xem xét
2. Quan sát header cột Hồ sơ khách hàng tại CIC</t>
  </si>
  <si>
    <t>Cột Hồ sơ khách hàng tại CIC không có icon/ô lọc (Quy tắc component: STT, Thao tác không lọc; SRS không mô tả lọc cho bảng này)</t>
  </si>
  <si>
    <t>Căn lề cột Hồ sơ khách hàng tại CIC</t>
  </si>
  <si>
    <t>Kiểm tra bảng so sánh</t>
  </si>
  <si>
    <t>Kiểm tra cố định hàng tiêu đề khi cuộn</t>
  </si>
  <si>
    <t>Cuộn bảng so sánh</t>
  </si>
  <si>
    <t>Hồ sơ đủ chỉ tiêu, công tắc tắt</t>
  </si>
  <si>
    <t>1. Tại màn hình "Danh sách hồ sơ pháp lý" (Cá nhân, 31358001, D11) mở menu Thao tác → Xử lý hồ sơ của hồ sơ Chờ xem xét
2. Cuộn bảng xuống cuối</t>
  </si>
  <si>
    <t>Hai thẻ và dòng tóm tắt cuộn khuất; hàng tiêu đề cột cùng ô chọn Ngày báo cáo giữ ở đầu vùng cuộn (BR-046, AC#7)</t>
  </si>
  <si>
    <t>Kiểm tra nhãn C06</t>
  </si>
  <si>
    <t>Nhãn đã xác thực C06</t>
  </si>
  <si>
    <t>Hồ sơ CIC có cờ C06 / không có cờ</t>
  </si>
  <si>
    <t>Có cờ: hiển thị nhãn "C06" cạnh tiêu đề cột CIC; không có cờ: không hiển thị (BR-034, assumption Q42)</t>
  </si>
  <si>
    <t>Kiểm tra button Hủy</t>
  </si>
  <si>
    <t>Kiểm tra hiển thị nút Hủy</t>
  </si>
  <si>
    <t>1. Tại màn hình "Danh sách hồ sơ pháp lý" (Cá nhân, 31358001, D11) mở menu Thao tác → Xử lý hồ sơ của hồ sơ Chờ xem xét
2. Quan sát nút Hủy</t>
  </si>
  <si>
    <t>Nút "Hủy" ở chân popup "Xử lý hồ sơ pháp lý tệp D10/D11"</t>
  </si>
  <si>
    <t>Kiểm tra trạng thái enable/disable của nút Hủy</t>
  </si>
  <si>
    <t>1. Tại màn hình "Danh sách hồ sơ pháp lý" (Cá nhân, 31358001, D11) mở menu Thao tác → Xử lý hồ sơ của hồ sơ Chờ xem xét
2. Quan sát trạng thái nút Hủy theo từng điều kiện</t>
  </si>
  <si>
    <t>Kiểm tra click nút Hủy</t>
  </si>
  <si>
    <t>1. Tại màn hình "Danh sách hồ sơ pháp lý" (Cá nhân, 31358001, D11) mở menu Thao tác → Xử lý hồ sơ của hồ sơ Chờ xem xét
2. Click nút Hủy</t>
  </si>
  <si>
    <t>Đóng màn xử lý, về màn hình "Danh sách hồ sơ pháp lý" giữ bộ lọc/trang; hồ sơ vẫn Chờ xem xét (ALT-03, assumption Q33)</t>
  </si>
  <si>
    <t>Kiểm tra button Từ chối</t>
  </si>
  <si>
    <t>Kiểm tra hiển thị nút Từ chối</t>
  </si>
  <si>
    <t>1. Tại màn hình "Danh sách hồ sơ pháp lý" (Cá nhân, 31358001, D11) mở menu Thao tác → Xử lý hồ sơ của hồ sơ Chờ xem xét
2. Quan sát nút Từ chối</t>
  </si>
  <si>
    <t>Nút "Từ chối"</t>
  </si>
  <si>
    <t>Kiểm tra trạng thái enable/disable của nút Từ chối</t>
  </si>
  <si>
    <t>1. Tại màn hình "Danh sách hồ sơ pháp lý" (Cá nhân, 31358001, D11) mở menu Thao tác → Xử lý hồ sơ của hồ sơ Chờ xem xét
2. Quan sát trạng thái nút Từ chối theo từng điều kiện</t>
  </si>
  <si>
    <t>Kiểm tra click nút Từ chối</t>
  </si>
  <si>
    <t>1. Tại màn hình "Danh sách hồ sơ pháp lý" (Cá nhân, 31358001, D11) mở menu Thao tác → Xử lý hồ sơ của hồ sơ Chờ xem xét
2. Click nút Từ chối</t>
  </si>
  <si>
    <t>Mở popup "Xác nhận từ chối cập nhật thông tin hồ sơ" xác nhận từ chối</t>
  </si>
  <si>
    <t>Kiểm tra button Cập nhật</t>
  </si>
  <si>
    <t>Kiểm tra hiển thị nút Cập nhật</t>
  </si>
  <si>
    <t>1. Tại màn hình "Danh sách hồ sơ pháp lý" (Cá nhân, 31358001, D11) mở menu Thao tác → Xử lý hồ sơ của hồ sơ Chờ xem xét
2. Quan sát nút Cập nhật</t>
  </si>
  <si>
    <t>Nút "Cập nhật" là Primary button</t>
  </si>
  <si>
    <t>Kiểm tra trạng thái enable/disable của nút Cập nhật</t>
  </si>
  <si>
    <t>1. Tại màn hình "Danh sách hồ sơ pháp lý" (Cá nhân, 31358001, D11) mở menu Thao tác → Xử lý hồ sơ của hồ sơ Chờ xem xét
2. Quan sát trạng thái nút Cập nhật theo từng điều kiện</t>
  </si>
  <si>
    <t>Kiểm tra click nút Cập nhật</t>
  </si>
  <si>
    <t>1. Tại màn hình "Danh sách hồ sơ pháp lý" (Cá nhân, 31358001, D11) mở menu Thao tác → Xử lý hồ sơ của hồ sơ Chờ xem xét
2. Click nút Cập nhật</t>
  </si>
  <si>
    <t>Mở popup "Xác nhận cập nhật thông tin hồ sơ" xác nhận cập nhật</t>
  </si>
  <si>
    <t>Kiểm tra popup "Xác nhận cập nhật thông tin hồ sơ"</t>
  </si>
  <si>
    <t>Hiển thị popup "Xác nhận cập nhật thông tin hồ sơ" khi mở</t>
  </si>
  <si>
    <t>1. Tại màn hình "Danh sách hồ sơ pháp lý" (Cá nhân, 31358001, D11) mở menu Thao tác → Xử lý hồ sơ của hồ sơ Chờ xem xét, click nút Cập nhật để mở popup "Xác nhận cập nhật thông tin hồ sơ"
2. Quan sát popup "Xác nhận cập nhật thông tin hồ sơ"</t>
  </si>
  <si>
    <t>Popup tiêu đề "Xác nhận thông tin hồ sơ", icon X, câu xác nhận CONF_001, nhãn "Lý do" (*), ô Lý do, bộ đếm "0/1000 ký tự", nút Hủy và Cập nhật</t>
  </si>
  <si>
    <t>1. Tại màn hình "Danh sách hồ sơ pháp lý" (Cá nhân, 31358001, D11) mở menu Thao tác → Xử lý hồ sơ của hồ sơ Chờ xem xét, click nút Cập nhật để mở popup "Xác nhận cập nhật thông tin hồ sơ"
2. Quan sát toàn bộ label, control, button</t>
  </si>
  <si>
    <t>1. Tại màn hình "Danh sách hồ sơ pháp lý" (Cá nhân, 31358001, D11) mở menu Thao tác → Xử lý hồ sơ của hồ sơ Chờ xem xét, click nút Cập nhật để mở popup "Xác nhận cập nhật thông tin hồ sơ"
2. Nhấn phím Tab liên tục</t>
  </si>
  <si>
    <t>Con trỏ di chuyển lần lượt: Ô Lý do → nút Hủy → nút Cập nhật → icon X</t>
  </si>
  <si>
    <t>1. Tại màn hình "Danh sách hồ sơ pháp lý" (Cá nhân, 31358001, D11) mở menu Thao tác → Xử lý hồ sơ của hồ sơ Chờ xem xét, click nút Cập nhật để mở popup "Xác nhận cập nhật thông tin hồ sơ"
2. Focus control cuối cùng
3. Nhấn Shift+Tab liên tục</t>
  </si>
  <si>
    <t>1. Tại màn hình "Danh sách hồ sơ pháp lý" (Cá nhân, 31358001, D11) mở menu Thao tác → Xử lý hồ sơ của hồ sơ Chờ xem xét, click nút Cập nhật để mở popup "Xác nhận cập nhật thông tin hồ sơ"
2. Focus control
3. Nhấn phím Enter</t>
  </si>
  <si>
    <t>Focus nút Cập nhật và nhấn Enter → thực hiện xác nhận; trong ô Lý do Enter xuống dòng</t>
  </si>
  <si>
    <t>1. Tại màn hình "Danh sách hồ sơ pháp lý" (Cá nhân, 31358001, D11) mở menu Thao tác → Xử lý hồ sơ của hồ sơ Chờ xem xét, click nút Cập nhật để mở popup "Xác nhận cập nhật thông tin hồ sơ"
2. Nhấn Ctrl+− / Ctrl+= để đổi mức zoom</t>
  </si>
  <si>
    <t>Kiểm tra câu xác nhận</t>
  </si>
  <si>
    <t>Nội dung CONF_001 trên popup "Xác nhận cập nhật thông tin hồ sơ"</t>
  </si>
  <si>
    <t>1. Tại màn hình "Danh sách hồ sơ pháp lý" (Cá nhân, 31358001, D11) mở menu Thao tác → Xử lý hồ sơ của hồ sơ Chờ xem xét, click nút Cập nhật để mở popup "Xác nhận cập nhật thông tin hồ sơ"</t>
  </si>
  <si>
    <t>Hiển thị "Bạn có chắc chắn muốn cập nhật thông tin pháp lý quan trọng của khách hàng không?" (CONF_001, assumption Q31)</t>
  </si>
  <si>
    <t>Kiểm tra Area box Lý do (popup "Xác nhận cập nhật thông tin hồ sơ")</t>
  </si>
  <si>
    <t>Hiển thị ô Lý do</t>
  </si>
  <si>
    <t>1. Tại màn hình "Danh sách hồ sơ pháp lý" (Cá nhân, 31358001, D11) mở menu Thao tác → Xử lý hồ sơ của hồ sơ Chờ xem xét, click nút Cập nhật để mở popup "Xác nhận cập nhật thông tin hồ sơ"
2. Quan sát ô Lý do</t>
  </si>
  <si>
    <t>Hiển thị nhãn "Lý do" kèm dấu (*), textarea, bộ đếm "0/1000 ký tự"</t>
  </si>
  <si>
    <t>Giá trị mặc định khi mở popup</t>
  </si>
  <si>
    <t>Ô Lý do trống</t>
  </si>
  <si>
    <t>Placeholder khi chưa nhập</t>
  </si>
  <si>
    <t>Hiển thị placeholder "Nhập lý do"</t>
  </si>
  <si>
    <t>Bỏ trống Lý do rồi xác nhận</t>
  </si>
  <si>
    <t>Lý do: (rỗng)</t>
  </si>
  <si>
    <t>1. Tại màn hình "Danh sách hồ sơ pháp lý" (Cá nhân, 31358001, D11) mở menu Thao tác → Xử lý hồ sơ của hồ sơ Chờ xem xét, click nút Cập nhật để mở popup "Xác nhận cập nhật thông tin hồ sơ"
2. Click nút Cập nhật trên popup "Xác nhận cập nhật thông tin hồ sơ"</t>
  </si>
  <si>
    <t>Popup giữ nguyên; ô Lý do viền đỏ, hiển thị ERR_001 "Lý do không được để trống." ngay dưới ô; không ghi dữ liệu (BR-038)</t>
  </si>
  <si>
    <t>999 ký tự</t>
  </si>
  <si>
    <t>1. Tại màn hình "Danh sách hồ sơ pháp lý" (Cá nhân, 31358001, D11) mở menu Thao tác → Xử lý hồ sơ của hồ sơ Chờ xem xét, click nút Cập nhật để mở popup "Xác nhận cập nhật thông tin hồ sơ"
2. Nhập: 999 ký tự
3. Click nút Cập nhật trên popup "Xác nhận cập nhật thông tin hồ sơ"</t>
  </si>
  <si>
    <t>Chấp nhận; thao tác thành công, Lý do được lưu đúng giá trị đã nhập</t>
  </si>
  <si>
    <t>1000 ký tự</t>
  </si>
  <si>
    <t>1. Tại màn hình "Danh sách hồ sơ pháp lý" (Cá nhân, 31358001, D11) mở menu Thao tác → Xử lý hồ sơ của hồ sơ Chờ xem xét, click nút Cập nhật để mở popup "Xác nhận cập nhật thông tin hồ sơ"
2. Nhập: 1000 ký tự
3. Click nút Cập nhật trên popup "Xác nhận cập nhật thông tin hồ sơ"</t>
  </si>
  <si>
    <t>Chấp nhận; thao tác thành công, Lý do được lưu đúng giá trị đã nhập; bộ đếm hiển thị 1000/1000</t>
  </si>
  <si>
    <t>1001 ký tự</t>
  </si>
  <si>
    <t>1. Tại màn hình "Danh sách hồ sơ pháp lý" (Cá nhân, 31358001, D11) mở menu Thao tác → Xử lý hồ sơ của hồ sơ Chờ xem xét, click nút Cập nhật để mở popup "Xác nhận cập nhật thông tin hồ sơ"
2. Nhập: 1001 ký tự
3. Click nút Cập nhật trên popup "Xác nhận cập nhật thông tin hồ sơ"</t>
  </si>
  <si>
    <t>Không nhập được ký tự thứ 1001 (chặn tại 1000) đồng thời hiển thị ERR_023 "Lý do không được vượt quá 1000 ký tự." ngay dưới ô Lý do (BR-038, quyết định user GAP-01)</t>
  </si>
  <si>
    <t>Toàn khoảng trắng '     '</t>
  </si>
  <si>
    <t>1. Tại màn hình "Danh sách hồ sơ pháp lý" (Cá nhân, 31358001, D11) mở menu Thao tác → Xử lý hồ sơ của hồ sơ Chờ xem xét, click nút Cập nhật để mở popup "Xác nhận cập nhật thông tin hồ sơ"
2. Nhập: Toàn khoảng trắng '     '
3. Click nút Cập nhật trên popup "Xác nhận cập nhật thông tin hồ sơ"</t>
  </si>
  <si>
    <t>Trim → rỗng; hiển thị ERR_001 "Lý do không được để trống."; không ghi dữ liệu</t>
  </si>
  <si>
    <t>'   Hồ sơ hợp lệ   ' (khoảng trắng đầu cuối)</t>
  </si>
  <si>
    <t>1. Tại màn hình "Danh sách hồ sơ pháp lý" (Cá nhân, 31358001, D11) mở menu Thao tác → Xử lý hồ sơ của hồ sơ Chờ xem xét, click nút Cập nhật để mở popup "Xác nhận cập nhật thông tin hồ sơ"
2. Nhập: '   Hồ sơ hợp lệ   ' (khoảng trắng đầu cuối)
3. Click nút Cập nhật trên popup "Xác nhận cập nhật thông tin hồ sơ"</t>
  </si>
  <si>
    <t>Trim khoảng trắng đầu cuối khi blur/submit; lưu "Hồ sơ hợp lệ"</t>
  </si>
  <si>
    <t>'Hồ sơ hợp lệ' (khoảng trắng giữa)</t>
  </si>
  <si>
    <t>1. Tại màn hình "Danh sách hồ sơ pháp lý" (Cá nhân, 31358001, D11) mở menu Thao tác → Xử lý hồ sơ của hồ sơ Chờ xem xét, click nút Cập nhật để mở popup "Xác nhận cập nhật thông tin hồ sơ"
2. Nhập: 'Hồ sơ hợp lệ' (khoảng trắng giữa)
3. Click nút Cập nhật trên popup "Xác nhận cập nhật thông tin hồ sơ"</t>
  </si>
  <si>
    <t>Giữ nguyên khoảng trắng ở giữa; lưu thành công</t>
  </si>
  <si>
    <t>'Hồ  sơ    hợp lệ' (nhiều khoảng trắng giữa)</t>
  </si>
  <si>
    <t>1. Tại màn hình "Danh sách hồ sơ pháp lý" (Cá nhân, 31358001, D11) mở menu Thao tác → Xử lý hồ sơ của hồ sơ Chờ xem xét, click nút Cập nhật để mở popup "Xác nhận cập nhật thông tin hồ sơ"
2. Nhập: 'Hồ  sơ    hợp lệ' (nhiều khoảng trắng giữa)
3. Click nút Cập nhật trên popup "Xác nhận cập nhật thông tin hồ sơ"</t>
  </si>
  <si>
    <t>Giữ nguyên chuỗi; lưu thành công</t>
  </si>
  <si>
    <t>Kiểm tra nhập ký tự</t>
  </si>
  <si>
    <t>Chữ in hoa 'HO SO HOP LE'</t>
  </si>
  <si>
    <t>1. Tại màn hình "Danh sách hồ sơ pháp lý" (Cá nhân, 31358001, D11) mở menu Thao tác → Xử lý hồ sơ của hồ sơ Chờ xem xét, click nút Cập nhật để mở popup "Xác nhận cập nhật thông tin hồ sơ"
2. Nhập: Chữ in hoa 'HO SO HOP LE'
3. Click nút Cập nhật trên popup "Xác nhận cập nhật thông tin hồ sơ"</t>
  </si>
  <si>
    <t>Chữ in thường 'ho so hop le'</t>
  </si>
  <si>
    <t>1. Tại màn hình "Danh sách hồ sơ pháp lý" (Cá nhân, 31358001, D11) mở menu Thao tác → Xử lý hồ sơ của hồ sơ Chờ xem xét, click nút Cập nhật để mở popup "Xác nhận cập nhật thông tin hồ sơ"
2. Nhập: Chữ in thường 'ho so hop le'
3. Click nút Cập nhật trên popup "Xác nhận cập nhật thông tin hồ sơ"</t>
  </si>
  <si>
    <t>Ký tự số '1234567890'</t>
  </si>
  <si>
    <t>1. Tại màn hình "Danh sách hồ sơ pháp lý" (Cá nhân, 31358001, D11) mở menu Thao tác → Xử lý hồ sơ của hồ sơ Chờ xem xét, click nút Cập nhật để mở popup "Xác nhận cập nhật thông tin hồ sơ"
2. Nhập: Ký tự số '1234567890'
3. Click nút Cập nhật trên popup "Xác nhận cập nhật thông tin hồ sơ"</t>
  </si>
  <si>
    <t>Ký tự đặc biệt '!@#$%^&amp;*()_+-=[]{};:,./?'</t>
  </si>
  <si>
    <t>1. Tại màn hình "Danh sách hồ sơ pháp lý" (Cá nhân, 31358001, D11) mở menu Thao tác → Xử lý hồ sơ của hồ sơ Chờ xem xét, click nút Cập nhật để mở popup "Xác nhận cập nhật thông tin hồ sơ"
2. Nhập: Ký tự đặc biệt '!@#$%^&amp;*()_+-=[]{};:,./?'
3. Click nút Cập nhật trên popup "Xác nhận cập nhật thông tin hồ sơ"</t>
  </si>
  <si>
    <t>Hỗn hợp 'Hồ sơ HSPL-01 đã đối chiếu 100%'</t>
  </si>
  <si>
    <t>1. Tại màn hình "Danh sách hồ sơ pháp lý" (Cá nhân, 31358001, D11) mở menu Thao tác → Xử lý hồ sơ của hồ sơ Chờ xem xét, click nút Cập nhật để mở popup "Xác nhận cập nhật thông tin hồ sơ"
2. Nhập: Hỗn hợp 'Hồ sơ HSPL-01 đã đối chiếu 100%'
3. Click nút Cập nhật trên popup "Xác nhận cập nhật thông tin hồ sơ"</t>
  </si>
  <si>
    <t>Tiếng Việt có dấu 'Thông tin pháp lý đã được xác minh với đơn vị'</t>
  </si>
  <si>
    <t>1. Tại màn hình "Danh sách hồ sơ pháp lý" (Cá nhân, 31358001, D11) mở menu Thao tác → Xử lý hồ sơ của hồ sơ Chờ xem xét, click nút Cập nhật để mở popup "Xác nhận cập nhật thông tin hồ sơ"
2. Nhập: Tiếng Việt có dấu 'Thông tin pháp lý đã được xác minh với đơn vị'
3. Click nút Cập nhật trên popup "Xác nhận cập nhật thông tin hồ sơ"</t>
  </si>
  <si>
    <t>Kiểm tra bảo mật</t>
  </si>
  <si>
    <t>'&lt;script&gt;alert(1)&lt;/script&gt;'</t>
  </si>
  <si>
    <t>1. Tại màn hình "Danh sách hồ sơ pháp lý" (Cá nhân, 31358001, D11) mở menu Thao tác → Xử lý hồ sơ của hồ sơ Chờ xem xét, click nút Cập nhật để mở popup "Xác nhận cập nhật thông tin hồ sơ"
2. Nhập: '&lt;script&gt;alert(1)&lt;/script&gt;'
3. Click nút Cập nhật trên popup "Xác nhận cập nhật thông tin hồ sơ"</t>
  </si>
  <si>
    <t>Lưu dạng text; không thực thi script khi hiển thị lại ở tab Lịch sử / INF_011</t>
  </si>
  <si>
    <t>"' OR '1'='1'; DROP TABLE X;--"</t>
  </si>
  <si>
    <t>1. Tại màn hình "Danh sách hồ sơ pháp lý" (Cá nhân, 31358001, D11) mở menu Thao tác → Xử lý hồ sơ của hồ sơ Chờ xem xét, click nút Cập nhật để mở popup "Xác nhận cập nhật thông tin hồ sơ"
2. Nhập: "' OR '1'='1'; DROP TABLE X;--"
3. Click nút Cập nhật trên popup "Xác nhận cập nhật thông tin hồ sơ"</t>
  </si>
  <si>
    <t>Lưu dạng text; không lỗi hệ thống, không ảnh hưởng CSDL</t>
  </si>
  <si>
    <t>'https://example.com/a?b=1'</t>
  </si>
  <si>
    <t>1. Tại màn hình "Danh sách hồ sơ pháp lý" (Cá nhân, 31358001, D11) mở menu Thao tác → Xử lý hồ sơ của hồ sơ Chờ xem xét, click nút Cập nhật để mở popup "Xác nhận cập nhật thông tin hồ sơ"
2. Nhập: 'https://example.com/a?b=1'
3. Click nút Cập nhật trên popup "Xác nhận cập nhật thông tin hồ sơ"</t>
  </si>
  <si>
    <t>Lưu dạng text, không tự sinh liên kết thực thi</t>
  </si>
  <si>
    <t>'&lt;img src=x onerror=alert(1)&gt;' (CSRF/HTML)</t>
  </si>
  <si>
    <t>1. Tại màn hình "Danh sách hồ sơ pháp lý" (Cá nhân, 31358001, D11) mở menu Thao tác → Xử lý hồ sơ của hồ sơ Chờ xem xét, click nút Cập nhật để mở popup "Xác nhận cập nhật thông tin hồ sơ"
2. Nhập: '&lt;img src=x onerror=alert(1)&gt;' (CSRF/HTML)
3. Click nút Cập nhật trên popup "Xác nhận cập nhật thông tin hồ sơ"</t>
  </si>
  <si>
    <t>Lưu dạng text đã escape; không gửi request ngoài ý muốn</t>
  </si>
  <si>
    <t>1. Tại màn hình "Danh sách hồ sơ pháp lý" (Cá nhân, 31358001, D11) mở menu Thao tác → Xử lý hồ sơ của hồ sơ Chờ xem xét, click nút Cập nhật để mở popup "Xác nhận cập nhật thông tin hồ sơ"
2. Copy chuỗi: 999 ký tự
3. Ctrl+V vào ô Lý do
4. Click nút Cập nhật trên popup "Xác nhận cập nhật thông tin hồ sơ"</t>
  </si>
  <si>
    <t>1. Tại màn hình "Danh sách hồ sơ pháp lý" (Cá nhân, 31358001, D11) mở menu Thao tác → Xử lý hồ sơ của hồ sơ Chờ xem xét, click nút Cập nhật để mở popup "Xác nhận cập nhật thông tin hồ sơ"
2. Copy chuỗi: 1000 ký tự
3. Ctrl+V vào ô Lý do
4. Click nút Cập nhật trên popup "Xác nhận cập nhật thông tin hồ sơ"</t>
  </si>
  <si>
    <t>Chấp nhận; thao tác thành công, Lý do được lưu đúng giá trị đã nhập; bộ đếm 1000/1000</t>
  </si>
  <si>
    <t>1. Tại màn hình "Danh sách hồ sơ pháp lý" (Cá nhân, 31358001, D11) mở menu Thao tác → Xử lý hồ sơ của hồ sơ Chờ xem xét, click nút Cập nhật để mở popup "Xác nhận cập nhật thông tin hồ sơ"
2. Copy chuỗi: 1001 ký tự
3. Ctrl+V vào ô Lý do
4. Click nút Cập nhật trên popup "Xác nhận cập nhật thông tin hồ sơ"</t>
  </si>
  <si>
    <t>Bị cắt còn 1000 ký tự đồng thời hiển thị ERR_023 "Lý do không được vượt quá 1000 ký tự." ngay dưới ô Lý do (BR-038, quyết định user GAP-01)</t>
  </si>
  <si>
    <t>Toàn khoảng trắng</t>
  </si>
  <si>
    <t>1. Tại màn hình "Danh sách hồ sơ pháp lý" (Cá nhân, 31358001, D11) mở menu Thao tác → Xử lý hồ sơ của hồ sơ Chờ xem xét, click nút Cập nhật để mở popup "Xác nhận cập nhật thông tin hồ sơ"
2. Copy chuỗi: Toàn khoảng trắng
3. Ctrl+V vào ô Lý do
4. Click nút Cập nhật trên popup "Xác nhận cập nhật thông tin hồ sơ"</t>
  </si>
  <si>
    <t>Trim → rỗng; ERR_001 khi xác nhận</t>
  </si>
  <si>
    <t>Khoảng trắng đầu cuối</t>
  </si>
  <si>
    <t>1. Tại màn hình "Danh sách hồ sơ pháp lý" (Cá nhân, 31358001, D11) mở menu Thao tác → Xử lý hồ sơ của hồ sơ Chờ xem xét, click nút Cập nhật để mở popup "Xác nhận cập nhật thông tin hồ sơ"
2. Copy chuỗi: Khoảng trắng đầu cuối
3. Ctrl+V vào ô Lý do
4. Click nút Cập nhật trên popup "Xác nhận cập nhật thông tin hồ sơ"</t>
  </si>
  <si>
    <t>Trim khi blur/submit; lưu chuỗi đã trim</t>
  </si>
  <si>
    <t>Khoảng trắng giữa</t>
  </si>
  <si>
    <t>1. Tại màn hình "Danh sách hồ sơ pháp lý" (Cá nhân, 31358001, D11) mở menu Thao tác → Xử lý hồ sơ của hồ sơ Chờ xem xét, click nút Cập nhật để mở popup "Xác nhận cập nhật thông tin hồ sơ"
2. Copy chuỗi: Khoảng trắng giữa
3. Ctrl+V vào ô Lý do
4. Click nút Cập nhật trên popup "Xác nhận cập nhật thông tin hồ sơ"</t>
  </si>
  <si>
    <t>Giữ nguyên; lưu thành công</t>
  </si>
  <si>
    <t>Nhiều khoảng trắng giữa</t>
  </si>
  <si>
    <t>1. Tại màn hình "Danh sách hồ sơ pháp lý" (Cá nhân, 31358001, D11) mở menu Thao tác → Xử lý hồ sơ của hồ sơ Chờ xem xét, click nút Cập nhật để mở popup "Xác nhận cập nhật thông tin hồ sơ"
2. Copy chuỗi: Nhiều khoảng trắng giữa
3. Ctrl+V vào ô Lý do
4. Click nút Cập nhật trên popup "Xác nhận cập nhật thông tin hồ sơ"</t>
  </si>
  <si>
    <t>Kiểm tra copy/paste ký tự</t>
  </si>
  <si>
    <t>Chữ in hoa</t>
  </si>
  <si>
    <t>1. Tại màn hình "Danh sách hồ sơ pháp lý" (Cá nhân, 31358001, D11) mở menu Thao tác → Xử lý hồ sơ của hồ sơ Chờ xem xét, click nút Cập nhật để mở popup "Xác nhận cập nhật thông tin hồ sơ"
2. Copy chuỗi: Chữ in hoa
3. Ctrl+V vào ô Lý do
4. Click nút Cập nhật trên popup "Xác nhận cập nhật thông tin hồ sơ"</t>
  </si>
  <si>
    <t>Chữ in thường</t>
  </si>
  <si>
    <t>1. Tại màn hình "Danh sách hồ sơ pháp lý" (Cá nhân, 31358001, D11) mở menu Thao tác → Xử lý hồ sơ của hồ sơ Chờ xem xét, click nút Cập nhật để mở popup "Xác nhận cập nhật thông tin hồ sơ"
2. Copy chuỗi: Chữ in thường
3. Ctrl+V vào ô Lý do
4. Click nút Cập nhật trên popup "Xác nhận cập nhật thông tin hồ sơ"</t>
  </si>
  <si>
    <t>Ký tự số</t>
  </si>
  <si>
    <t>1. Tại màn hình "Danh sách hồ sơ pháp lý" (Cá nhân, 31358001, D11) mở menu Thao tác → Xử lý hồ sơ của hồ sơ Chờ xem xét, click nút Cập nhật để mở popup "Xác nhận cập nhật thông tin hồ sơ"
2. Copy chuỗi: Ký tự số
3. Ctrl+V vào ô Lý do
4. Click nút Cập nhật trên popup "Xác nhận cập nhật thông tin hồ sơ"</t>
  </si>
  <si>
    <t>Ký tự đặc biệt</t>
  </si>
  <si>
    <t>1. Tại màn hình "Danh sách hồ sơ pháp lý" (Cá nhân, 31358001, D11) mở menu Thao tác → Xử lý hồ sơ của hồ sơ Chờ xem xét, click nút Cập nhật để mở popup "Xác nhận cập nhật thông tin hồ sơ"
2. Copy chuỗi: Ký tự đặc biệt
3. Ctrl+V vào ô Lý do
4. Click nút Cập nhật trên popup "Xác nhận cập nhật thông tin hồ sơ"</t>
  </si>
  <si>
    <t>Hỗn hợp chữ, số, ký tự đặc biệt</t>
  </si>
  <si>
    <t>1. Tại màn hình "Danh sách hồ sơ pháp lý" (Cá nhân, 31358001, D11) mở menu Thao tác → Xử lý hồ sơ của hồ sơ Chờ xem xét, click nút Cập nhật để mở popup "Xác nhận cập nhật thông tin hồ sơ"
2. Copy chuỗi: Hỗn hợp chữ, số, ký tự đặc biệt
3. Ctrl+V vào ô Lý do
4. Click nút Cập nhật trên popup "Xác nhận cập nhật thông tin hồ sơ"</t>
  </si>
  <si>
    <t>Tiếng Việt có dấu</t>
  </si>
  <si>
    <t>1. Tại màn hình "Danh sách hồ sơ pháp lý" (Cá nhân, 31358001, D11) mở menu Thao tác → Xử lý hồ sơ của hồ sơ Chờ xem xét, click nút Cập nhật để mở popup "Xác nhận cập nhật thông tin hồ sơ"
2. Copy chuỗi: Tiếng Việt có dấu
3. Ctrl+V vào ô Lý do
4. Click nút Cập nhật trên popup "Xác nhận cập nhật thông tin hồ sơ"</t>
  </si>
  <si>
    <t>Kiểm tra copy/paste bảo mật</t>
  </si>
  <si>
    <t>1. Tại màn hình "Danh sách hồ sơ pháp lý" (Cá nhân, 31358001, D11) mở menu Thao tác → Xử lý hồ sơ của hồ sơ Chờ xem xét, click nút Cập nhật để mở popup "Xác nhận cập nhật thông tin hồ sơ"
2. Copy chuỗi: '&lt;script&gt;alert(1)&lt;/script&gt;'
3. Ctrl+V vào ô Lý do
4. Click nút Cập nhật trên popup "Xác nhận cập nhật thông tin hồ sơ"</t>
  </si>
  <si>
    <t>Lưu dạng text; không thực thi script</t>
  </si>
  <si>
    <t>Chuỗi SQL injection</t>
  </si>
  <si>
    <t>1. Tại màn hình "Danh sách hồ sơ pháp lý" (Cá nhân, 31358001, D11) mở menu Thao tác → Xử lý hồ sơ của hồ sơ Chờ xem xét, click nút Cập nhật để mở popup "Xác nhận cập nhật thông tin hồ sơ"
2. Copy chuỗi: Chuỗi SQL injection
3. Ctrl+V vào ô Lý do
4. Click nút Cập nhật trên popup "Xác nhận cập nhật thông tin hồ sơ"</t>
  </si>
  <si>
    <t>Không lỗi hệ thống, không ảnh hưởng CSDL</t>
  </si>
  <si>
    <t>URL</t>
  </si>
  <si>
    <t>1. Tại màn hình "Danh sách hồ sơ pháp lý" (Cá nhân, 31358001, D11) mở menu Thao tác → Xử lý hồ sơ của hồ sơ Chờ xem xét, click nút Cập nhật để mở popup "Xác nhận cập nhật thông tin hồ sơ"
2. Copy chuỗi: URL
3. Ctrl+V vào ô Lý do
4. Click nút Cập nhật trên popup "Xác nhận cập nhật thông tin hồ sơ"</t>
  </si>
  <si>
    <t>Lưu dạng text</t>
  </si>
  <si>
    <t>Thẻ HTML có sự kiện (CSRF)</t>
  </si>
  <si>
    <t>1. Tại màn hình "Danh sách hồ sơ pháp lý" (Cá nhân, 31358001, D11) mở menu Thao tác → Xử lý hồ sơ của hồ sơ Chờ xem xét, click nút Cập nhật để mở popup "Xác nhận cập nhật thông tin hồ sơ"
2. Copy chuỗi: Thẻ HTML có sự kiện (CSRF)
3. Ctrl+V vào ô Lý do
4. Click nút Cập nhật trên popup "Xác nhận cập nhật thông tin hồ sơ"</t>
  </si>
  <si>
    <t>Lưu dạng text đã escape</t>
  </si>
  <si>
    <t>Kiểm tra nhập nhiều dòng bằng phím Enter</t>
  </si>
  <si>
    <t>Xuống dòng trong ô Lý do</t>
  </si>
  <si>
    <t>Dòng 1 + Enter + Dòng 2 (Shift+Enter)</t>
  </si>
  <si>
    <t>1. Tại màn hình "Danh sách hồ sơ pháp lý" (Cá nhân, 31358001, D11) mở menu Thao tác → Xử lý hồ sơ của hồ sơ Chờ xem xét, click nút Cập nhật để mở popup "Xác nhận cập nhật thông tin hồ sơ"
2. Nhập 'Dòng 1', nhấn Enter, nhập 'Dòng 2'
3. Click nút Cập nhật trên popup "Xác nhận cập nhật thông tin hồ sơ"</t>
  </si>
  <si>
    <t>Con trỏ xuống dòng; lý do lưu và hiển thị lại đúng nhiều dòng (cột Mô tả tab Lịch sử)</t>
  </si>
  <si>
    <t>Kiểm tra bộ đếm ký tự realtime</t>
  </si>
  <si>
    <t>Bộ đếm "đã dùng/tối đa"</t>
  </si>
  <si>
    <t>Nhập 15 ký tự, xóa 5 ký tự</t>
  </si>
  <si>
    <t>1. Tại màn hình "Danh sách hồ sơ pháp lý" (Cá nhân, 31358001, D11) mở menu Thao tác → Xử lý hồ sơ của hồ sơ Chờ xem xét, click nút Cập nhật để mở popup "Xác nhận cập nhật thông tin hồ sơ"
2. Nhập 15 ký tự
3. Xóa 5 ký tự</t>
  </si>
  <si>
    <t>Bộ đếm cập nhật tức thời 15/1000 → 10/1000</t>
  </si>
  <si>
    <t>Kiểm tra tự động thay đổi chiều cao</t>
  </si>
  <si>
    <t>Auto resize theo nội dung</t>
  </si>
  <si>
    <t>Nhập 20 dòng</t>
  </si>
  <si>
    <t>1. Tại màn hình "Danh sách hồ sơ pháp lý" (Cá nhân, 31358001, D11) mở menu Thao tác → Xử lý hồ sơ của hồ sơ Chờ xem xét, click nút Cập nhật để mở popup "Xác nhận cập nhật thông tin hồ sơ"
2. Nhập lần lượt 20 dòng</t>
  </si>
  <si>
    <t>Textarea tự mở rộng chiều cao tới giới hạn maxRows rồi hiển thị scroll; popup không vỡ layout</t>
  </si>
  <si>
    <t>Kiểm tra button Cập nhật trên Hộp thoại "Xác nhận cập nhật thông tin hồ sơ"</t>
  </si>
  <si>
    <t>Kiểm tra hiển thị button xác nhận</t>
  </si>
  <si>
    <t>1. Tại màn hình "Danh sách hồ sơ pháp lý" (Cá nhân, 31358001, D11) mở menu Thao tác → Xử lý hồ sơ của hồ sơ Chờ xem xét, click nút Cập nhật để mở popup "Xác nhận cập nhật thông tin hồ sơ"
2. Quan sát nút Cập nhật</t>
  </si>
  <si>
    <t>Nút "Cập nhật" là Primary button, căn giữa cùng nút Hủy, nhãn đúng chính tả</t>
  </si>
  <si>
    <t>Kiểm tra trạng thái button xác nhận</t>
  </si>
  <si>
    <t>1. Tại màn hình "Danh sách hồ sơ pháp lý" (Cá nhân, 31358001, D11) mở menu Thao tác → Xử lý hồ sơ của hồ sơ Chờ xem xét, click nút Cập nhật để mở popup "Xác nhận cập nhật thông tin hồ sơ"
2. Quan sát nút Cập nhật khi Lý do trống và khi đã nhập</t>
  </si>
  <si>
    <t>Nút luôn enable; validate Lý do khi click (BR-038)</t>
  </si>
  <si>
    <t>Kiểm tra click button xác nhận</t>
  </si>
  <si>
    <t>Lý do: 'Đã đối chiếu với đơn vị'</t>
  </si>
  <si>
    <t>1. Tại màn hình "Danh sách hồ sơ pháp lý" (Cá nhân, 31358001, D11) mở menu Thao tác → Xử lý hồ sơ của hồ sơ Chờ xem xét, click nút Cập nhật để mở popup "Xác nhận cập nhật thông tin hồ sơ"
2. Nhập Lý do hợp lệ
3. Click nút Cập nhật</t>
  </si>
  <si>
    <t>Popup và màn xử lý đóng; hồ sơ chuyển Đã xử lý, lưu lý do, ghi thông tin pháp lý vào kho TCTD theo Mã CIC; toast SUC_001 "Cập nhật thông tin thành công."; quay về màn hình "Danh sách hồ sơ pháp lý" (BR-040)</t>
  </si>
  <si>
    <t>Kiểm tra button Hủy trên Hộp thoại "Xác nhận cập nhật thông tin hồ sơ"</t>
  </si>
  <si>
    <t>Kiểm tra hiển thị button hủy</t>
  </si>
  <si>
    <t>1. Tại màn hình "Danh sách hồ sơ pháp lý" (Cá nhân, 31358001, D11) mở menu Thao tác → Xử lý hồ sơ của hồ sơ Chờ xem xét, click nút Cập nhật để mở popup "Xác nhận cập nhật thông tin hồ sơ"
2. Quan sát nút Hủy</t>
  </si>
  <si>
    <t>Nút "Hủy" là Secondary button, đặt trước nút xác nhận</t>
  </si>
  <si>
    <t>Kiểm tra trạng thái button hủy</t>
  </si>
  <si>
    <t>Nút luôn enable</t>
  </si>
  <si>
    <t>Kiểm tra click button hủy</t>
  </si>
  <si>
    <t>Lý do đã nhập: 'Test hủy'</t>
  </si>
  <si>
    <t>1. Tại màn hình "Danh sách hồ sơ pháp lý" (Cá nhân, 31358001, D11) mở menu Thao tác → Xử lý hồ sơ của hồ sơ Chờ xem xét, click nút Cập nhật để mở popup "Xác nhận cập nhật thông tin hồ sơ"
2. Nhập Lý do
3. Click Hủy
4. Mở lại popup</t>
  </si>
  <si>
    <t>Popup đóng, ở lại màn xử lý, không ghi dữ liệu, hồ sơ vẫn Chờ xem xét; ô Lý do giữ nguyên nội dung đã nhập khi mở lại popup (assumption Q32)</t>
  </si>
  <si>
    <t>Kiểm tra icon đóng (X) trên Hộp thoại "Xác nhận cập nhật thông tin hồ sơ"</t>
  </si>
  <si>
    <t>1. Tại màn hình "Danh sách hồ sơ pháp lý" (Cá nhân, 31358001, D11) mở menu Thao tác → Xử lý hồ sơ của hồ sơ Chờ xem xét, click nút Cập nhật để mở popup "Xác nhận cập nhật thông tin hồ sơ"
2. Quan sát góc trên bên phải popup</t>
  </si>
  <si>
    <t>Icon X hiển thị góc trên bên phải, cạnh tiêu đề "Xác nhận thông tin hồ sơ" (assumption Q31)</t>
  </si>
  <si>
    <t>Lý do đã nhập: 'Test đóng'</t>
  </si>
  <si>
    <t>1. Tại màn hình "Danh sách hồ sơ pháp lý" (Cá nhân, 31358001, D11) mở menu Thao tác → Xử lý hồ sơ của hồ sơ Chờ xem xét, click nút Cập nhật để mở popup "Xác nhận cập nhật thông tin hồ sơ"
2. Nhập Lý do
3. Click icon X</t>
  </si>
  <si>
    <t>Popup đóng như nút Hủy: ở lại màn xử lý, không ghi dữ liệu, hồ sơ vẫn Chờ xem xét</t>
  </si>
  <si>
    <t>Kiểm tra popup "Xác nhận từ chối cập nhật thông tin hồ sơ"</t>
  </si>
  <si>
    <t>Hiển thị popup "Xác nhận từ chối cập nhật thông tin hồ sơ" khi mở</t>
  </si>
  <si>
    <t>1. Tại màn hình "Danh sách hồ sơ pháp lý" (Cá nhân, 31358001, D11) mở menu Thao tác → Xử lý hồ sơ của hồ sơ Chờ xem xét, click nút Từ chối để mở popup "Xác nhận từ chối cập nhật thông tin hồ sơ"
2. Quan sát popup "Xác nhận từ chối cập nhật thông tin hồ sơ"</t>
  </si>
  <si>
    <t>Popup tiêu đề "Xác nhận thông tin hồ sơ", icon X, câu xác nhận CONF_001, nhãn "Lý do" (*), ô Lý do, bộ đếm "0/1000 ký tự", nút Hủy và Từ chối</t>
  </si>
  <si>
    <t>1. Tại màn hình "Danh sách hồ sơ pháp lý" (Cá nhân, 31358001, D11) mở menu Thao tác → Xử lý hồ sơ của hồ sơ Chờ xem xét, click nút Từ chối để mở popup "Xác nhận từ chối cập nhật thông tin hồ sơ"
2. Quan sát toàn bộ label, control, button</t>
  </si>
  <si>
    <t>1. Tại màn hình "Danh sách hồ sơ pháp lý" (Cá nhân, 31358001, D11) mở menu Thao tác → Xử lý hồ sơ của hồ sơ Chờ xem xét, click nút Từ chối để mở popup "Xác nhận từ chối cập nhật thông tin hồ sơ"
2. Nhấn phím Tab liên tục</t>
  </si>
  <si>
    <t>Con trỏ di chuyển lần lượt: Ô Lý do → nút Hủy → nút Từ chối → icon X</t>
  </si>
  <si>
    <t>1. Tại màn hình "Danh sách hồ sơ pháp lý" (Cá nhân, 31358001, D11) mở menu Thao tác → Xử lý hồ sơ của hồ sơ Chờ xem xét, click nút Từ chối để mở popup "Xác nhận từ chối cập nhật thông tin hồ sơ"
2. Focus control cuối cùng
3. Nhấn Shift+Tab liên tục</t>
  </si>
  <si>
    <t>1. Tại màn hình "Danh sách hồ sơ pháp lý" (Cá nhân, 31358001, D11) mở menu Thao tác → Xử lý hồ sơ của hồ sơ Chờ xem xét, click nút Từ chối để mở popup "Xác nhận từ chối cập nhật thông tin hồ sơ"
2. Focus control
3. Nhấn phím Enter</t>
  </si>
  <si>
    <t>Focus nút Từ chối và nhấn Enter → thực hiện xác nhận; trong ô Lý do Enter xuống dòng</t>
  </si>
  <si>
    <t>1. Tại màn hình "Danh sách hồ sơ pháp lý" (Cá nhân, 31358001, D11) mở menu Thao tác → Xử lý hồ sơ của hồ sơ Chờ xem xét, click nút Từ chối để mở popup "Xác nhận từ chối cập nhật thông tin hồ sơ"
2. Nhấn Ctrl+− / Ctrl+= để đổi mức zoom</t>
  </si>
  <si>
    <t>Nội dung CONF_001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</si>
  <si>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t>
  </si>
  <si>
    <t>Hiển thị "Bạn có chắc chắn muốn từ chối cập nhật thông tin pháp lý quan trọng của khách hàng không?" (CONF_001, assumption Q31)</t>
  </si>
  <si>
    <t>Kiểm tra Area box Lý do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</si>
  <si>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Quan sát ô Lý do</t>
  </si>
  <si>
    <t>1. Tại màn hình "Danh sách hồ sơ pháp lý" (Cá nhân, 31358001, D11) mở menu Thao tác → Xử lý hồ sơ của hồ sơ Chờ xem xét, click nút Từ chối để mở popup "Xác nhận từ chối cập nhật thông tin hồ sơ"
2.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</si>
  <si>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Nhập: 999 ký tự
3.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</si>
  <si>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Nhập: 1000 ký tự
3.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</si>
  <si>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Nhập: 1001 ký tự
3.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</si>
  <si>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Nhập: Toàn khoảng trắng '     '
3.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</si>
  <si>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Nhập: '   Hồ sơ hợp lệ   ' (khoảng trắng đầu cuối)
3.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</si>
  <si>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Nhập: 'Hồ sơ hợp lệ' (khoảng trắng giữa)
3.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</si>
  <si>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Nhập: 'Hồ  sơ    hợp lệ' (nhiều khoảng trắng giữa)
3.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</si>
  <si>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Nhập: Chữ in hoa 'HO SO HOP LE'
3.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</si>
  <si>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Nhập: Chữ in thường 'ho so hop le'
3.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</si>
  <si>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Nhập: Ký tự số '1234567890'
3.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</si>
  <si>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Nhập: Ký tự đặc biệt '!@#$%^&amp;*()_+-=[]{};:,./?'
3.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</si>
  <si>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Nhập: Hỗn hợp 'Hồ sơ HSPL-01 đã đối chiếu 100%'
3.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</si>
  <si>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Nhập: Tiếng Việt có dấu 'Thông tin pháp lý đã được xác minh với đơn vị'
3.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</si>
  <si>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Nhập: '&lt;script&gt;alert(1)&lt;/script&gt;'
3.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</si>
  <si>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Nhập: "' OR '1'='1'; DROP TABLE X;--"
3.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</si>
  <si>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Nhập: 'https://example.com/a?b=1'
3.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</si>
  <si>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Nhập: '&lt;img src=x onerror=alert(1)&gt;' (CSRF/HTML)
3.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</si>
  <si>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Copy chuỗi: 999 ký tự
3. Ctrl+V vào ô Lý do
4.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</si>
  <si>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Copy chuỗi: 1000 ký tự
3. Ctrl+V vào ô Lý do
4.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</si>
  <si>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Copy chuỗi: 1001 ký tự
3. Ctrl+V vào ô Lý do
4.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</si>
  <si>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Copy chuỗi: Toàn khoảng trắng
3. Ctrl+V vào ô Lý do
4.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</si>
  <si>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Copy chuỗi: Khoảng trắng đầu cuối
3. Ctrl+V vào ô Lý do
4.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</si>
  <si>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Copy chuỗi: Khoảng trắng giữa
3. Ctrl+V vào ô Lý do
4.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</si>
  <si>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Copy chuỗi: Nhiều khoảng trắng giữa
3. Ctrl+V vào ô Lý do
4.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</si>
  <si>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Copy chuỗi: Chữ in hoa
3. Ctrl+V vào ô Lý do
4.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</si>
  <si>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Copy chuỗi: Chữ in thường
3. Ctrl+V vào ô Lý do
4.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</si>
  <si>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Copy chuỗi: Ký tự số
3. Ctrl+V vào ô Lý do
4.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</si>
  <si>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Copy chuỗi: Ký tự đặc biệt
3. Ctrl+V vào ô Lý do
4.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</si>
  <si>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Copy chuỗi: Hỗn hợp chữ, số, ký tự đặc biệt
3. Ctrl+V vào ô Lý do
4.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</si>
  <si>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Copy chuỗi: Tiếng Việt có dấu
3. Ctrl+V vào ô Lý do
4.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</si>
  <si>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Copy chuỗi: '&lt;script&gt;alert(1)&lt;/script&gt;'
3. Ctrl+V vào ô Lý do
4.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</si>
  <si>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Copy chuỗi: Chuỗi SQL injection
3. Ctrl+V vào ô Lý do
4.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</si>
  <si>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Copy chuỗi: URL
3. Ctrl+V vào ô Lý do
4.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</si>
  <si>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Copy chuỗi: Thẻ HTML có sự kiện (CSRF)
3. Ctrl+V vào ô Lý do
4.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</si>
  <si>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Nhập 'Dòng 1', nhấn Enter, nhập 'Dòng 2'
3. Click nút Từ chối trên popup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</si>
  <si>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Nhập 15 ký tự
3. Xóa 5 ký tự</t>
  </si>
  <si>
    <t>1. Tại màn hình "Danh sách hồ sơ pháp lý" (Cá nhân, 31358001, D11) mở menu Thao tác → Xử lý hồ sơ của hồ sơ Chờ xem xét, click nút Từ chối để mở popup "Xác nhận từ chối cập nhật thông tin hồ sơ"
2. Nhập lần lượt 20 dòng</t>
  </si>
  <si>
    <t>Kiểm tra button Từ chối trên Hộp thoại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</si>
  <si>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Quan sát nút Từ chối</t>
  </si>
  <si>
    <t>Nút "Từ chối" là Primary button, căn giữa cùng nút Hủy, nhãn đúng chính tả</t>
  </si>
  <si>
    <t>1. Tại màn hình "Danh sách hồ sơ pháp lý" (Cá nhân, 31358001, D11) mở menu Thao tác → Xử lý hồ sơ của hồ sơ Chờ xem xét, click nút Từ chối để mở popup "Xác nhận từ chối cập nhật thông tin hồ sơ"
2. Quan sát nút Từ chối khi Lý do trống và khi đã nhập</t>
  </si>
  <si>
    <t>1. Tại màn hình "Danh sách hồ sơ pháp lý" (Cá nhân, 31358001, D11) mở menu Thao tác → Xử lý hồ sơ của hồ sơ Chờ xem xét, click nút Từ chối để mở popup "Xác nhận từ chối cập nhật thông tin hồ sơ"
2. Nhập Lý do hợp lệ
3. Click nút Từ chối</t>
  </si>
  <si>
    <t>Popup và màn xử lý đóng; hồ sơ chuyển Từ chối, lưu lý do, kho TCTD giữ nguyên; quay về màn hình "Danh sách hồ sơ pháp lý" (BR-041)</t>
  </si>
  <si>
    <t>Kiểm tra button Hủy trên Hộp thoại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</si>
  <si>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Quan sát nút Hủy</t>
  </si>
  <si>
    <t>1. Tại màn hình "Danh sách hồ sơ pháp lý" (Cá nhân, 31358001, D11) mở menu Thao tác → Xử lý hồ sơ của hồ sơ Chờ xem xét, click nút Từ chối để mở popup "Xác nhận từ chối cập nhật thông tin hồ sơ"
2. Nhập Lý do
3. Click Hủy
4. Mở lại popup</t>
  </si>
  <si>
    <t>Kiểm tra icon đóng (X) trên Hộp thoại "Xác nhận từ chối cập nhật thông tin hồ sơ"</t>
  </si>
  <si>
    <t>1. Tại màn hình "Danh sách hồ sơ pháp lý" (Cá nhân, 31358001, D11) mở menu Thao tác → Xử lý hồ sơ của hồ sơ Chờ xem xét, click nút Từ chối để mở popup "Xác nhận từ chối cập nhật thông tin hồ sơ"
2. Quan sát góc trên bên phải popup</t>
  </si>
  <si>
    <t>1. Tại màn hình "Danh sách hồ sơ pháp lý" (Cá nhân, 31358001, D11) mở menu Thao tác → Xử lý hồ sơ của hồ sơ Chờ xem xét, click nút Từ chối để mở popup "Xác nhận từ chối cập nhật thông tin hồ sơ"
2. Nhập Lý do
3. Click icon X</t>
  </si>
  <si>
    <t>Kiểm tra mở màn xử lý và hiển thị so sánh</t>
  </si>
  <si>
    <t>Kiểm tra mở từ menu thao tác</t>
  </si>
  <si>
    <t>Mở màn xử lý từ menu Thao tác</t>
  </si>
  <si>
    <t>Hồ sơ D10/D11 Chờ xem xét</t>
  </si>
  <si>
    <t>1. Tại màn hình "Danh sách hồ sơ pháp lý" mở menu Thao tác của hồ sơ
2. Click Xử lý hồ sơ</t>
  </si>
  <si>
    <t>Mở popup "Xử lý hồ sơ pháp lý tệp D10/D11" của đúng hồ sơ (Luồng chính bước 1)</t>
  </si>
  <si>
    <t>Kiểm tra mở từ dải thao tác hàng loạt</t>
  </si>
  <si>
    <t>Mở khi chỉ chọn 1 hồ sơ</t>
  </si>
  <si>
    <t>1. Tick 1 hồ sơ
2. Click Xử lý hồ sơ trên dải</t>
  </si>
  <si>
    <t>Mở popup "Xử lý hồ sơ pháp lý tệp D10/D11" (BR-026)</t>
  </si>
  <si>
    <t>Kiểm tra tập chỉ tiêu khách hàng cá nhân</t>
  </si>
  <si>
    <t>Dòng chỉ tiêu theo Loại KH = Cá nhân</t>
  </si>
  <si>
    <t>1. Tại màn hình "Danh sách hồ sơ pháp lý" (Cá nhân, 31358001, D11) mở menu Thao tác → Xử lý hồ sơ của hồ sơ Chờ xem xét
2. Tắt công tắc</t>
  </si>
  <si>
    <t>Bảng gồm TTC và CN (Thông tin định danh: TTC03, TTC04, Thông tin chung: CN001–CN007, Thông tin pháp lý: CN008–CN015, Thông tin vợ/chồng: CN016, CN017, Thông tin nghề nghiệp và thu nhập: CN018–CN021, Thông tin thành viên: CN022); không có Thông tin khai báo chung (mục 12 bảng thành phần của popup "Xử lý hồ sơ pháp lý tệp D10/D11")</t>
  </si>
  <si>
    <t>Kiểm tra tập chỉ tiêu khách hàng tổ chức</t>
  </si>
  <si>
    <t>Dòng chỉ tiêu theo Loại KH = Tổ chức</t>
  </si>
  <si>
    <t>1. Tại màn hình "Danh sách hồ sơ pháp lý" (Tổ chức, 31358001, D11) mở Xử lý hồ sơ của hồ sơ tổ chức Chờ xem xét
2. Tắt công tắc</t>
  </si>
  <si>
    <t>Bảng gồm TTC, TC (Thông tin định danh: TTC03, TTC04, Thông tin chung: TC001–TC010, Thông tin pháp lý: TC011–TC016, Loại hình &amp; ngành nghề: TC017, TC018, Tổng giám đốc/Giám đốc: TC019–TC021, Thông tin thành viên: TC022, TC023) và bảng TC024, TC025, TC026; không có KB</t>
  </si>
  <si>
    <t>Kiểm tra danh sách phiên bản cột Hồ sơ khách hàng tại TCTD</t>
  </si>
  <si>
    <t>Có 1 phiên bản</t>
  </si>
  <si>
    <t>1 hồ sơ khác cùng Mã CIC và đầu mối</t>
  </si>
  <si>
    <t>1. Tại màn hình "Danh sách hồ sơ pháp lý" (Cá nhân, 31358001, D11) mở menu Thao tác → Xử lý hồ sơ của hồ sơ Chờ xem xét
2. Mở ô Ngày báo cáo</t>
  </si>
  <si>
    <t>Dropdown có 1 option, đang chọn (assumption Q35)</t>
  </si>
  <si>
    <t>Có 3 phiên bản</t>
  </si>
  <si>
    <t>30/06, 31/07, 31/08/2025</t>
  </si>
  <si>
    <t>Có đủ 3 option, mặc định 31/08/2025 (BR-032)</t>
  </si>
  <si>
    <t>Có 4 phiên bản</t>
  </si>
  <si>
    <t>31/05, 30/06, 31/07, 31/08/2025</t>
  </si>
  <si>
    <t>Chỉ có 3 option mới nhất 31/08, 31/07, 30/06; không có 31/05 (BR-032, AC#2)</t>
  </si>
  <si>
    <t>Trùng Ngày báo cáo</t>
  </si>
  <si>
    <t>2 phiên bản cùng 31/08/2025</t>
  </si>
  <si>
    <t>Phiên bản có Ngày tạo mới nhất xếp trước (assumption Q35)</t>
  </si>
  <si>
    <t>Mọi Ngày báo cáo đều trống</t>
  </si>
  <si>
    <t>3 phiên bản không có Ngày báo cáo</t>
  </si>
  <si>
    <t>Mặc định lấy hồ sơ có Ngày tạo mới nhất (BR-032)</t>
  </si>
  <si>
    <t>Có hồ sơ của TCTD khác cùng Mã CIC</t>
  </si>
  <si>
    <t>KH có hồ sơ của 31358001 và 79202501</t>
  </si>
  <si>
    <t>Chỉ gồm hồ sơ của đầu mối 31358001 (cùng đầu mối hồ sơ đang xem xét), không gồm chính hồ sơ đang xem xét (Q03)</t>
  </si>
  <si>
    <t>Kiểm tra đổi phiên bản tại TCTD</t>
  </si>
  <si>
    <t>Chọn Ngày báo cáo khác</t>
  </si>
  <si>
    <t>31/08 → 30/06/2025</t>
  </si>
  <si>
    <t>1. Tại màn hình "Danh sách hồ sơ pháp lý" (Cá nhân, 31358001, D11) mở menu Thao tác → Xử lý hồ sơ của hồ sơ Chờ xem xét
2. Chọn 30/06/2025</t>
  </si>
  <si>
    <t>Cột TCTD nạp lại theo phiên bản 30/06; tô lại ô khác biệt; tóm tắt và công tắc tính lại (BR-032, BR-037, assumption Q10)</t>
  </si>
  <si>
    <t>Kiểm tra cột hồ sơ tại CIC</t>
  </si>
  <si>
    <t>Nguồn cột CIC</t>
  </si>
  <si>
    <t>Mã CIC CIC#231345</t>
  </si>
  <si>
    <t>Hiển thị giá trị phiên bản duy nhất tại kho chuẩn CIC theo Mã CIC (BR-033)
SQL đối soát (mẫu):
SELECT * FROM &lt;KHO_CHUAN_CICINFO&gt; WHERE LOAI_DU_LIEU = 'Pháp lý' AND TRANG_THAI_DU_LIEU = 'Hợp lệ' AND MA_TEP IN ('D10','D11','Q11') AND MA_CIC = 'CIC#231345' ORDER BY MA_CIC;</t>
  </si>
  <si>
    <t>Kiểm tra so sánh độc lập hai cột</t>
  </si>
  <si>
    <t>Khác chỉ ở cột TCTD</t>
  </si>
  <si>
    <t>CN020: xem xét 8 năm, TCTD 6 năm, CIC 8 năm</t>
  </si>
  <si>
    <t>Chỉ ô CN020 cột TCTD tô nền; ô cột CIC không tô (BR-036, BR-037)</t>
  </si>
  <si>
    <t>Kiểm tra chỉ tô ô có giá trị khác</t>
  </si>
  <si>
    <t>Phạm vi tô nền</t>
  </si>
  <si>
    <t>CN003 khác ở cả 2 cột</t>
  </si>
  <si>
    <t>Tô nền 2 ô cột TCTD và CIC của CN003; không tô cả dòng, không đổi màu chữ (BR-037, AC#1)</t>
  </si>
  <si>
    <t>Kiểm tra biểu tượng chỉ tiêu quan trọng</t>
  </si>
  <si>
    <t>★ trước mã chỉ tiêu quan trọng</t>
  </si>
  <si>
    <t>CN010 được đánh dấu quan trọng ở FUNC-XLDL-027</t>
  </si>
  <si>
    <t>★ hiển thị trước CN010 trong ô Chỉ tiêu; chỉ tiêu không quan trọng không có ★ (BR-035, BR-009)</t>
  </si>
  <si>
    <t>Hover mã chỉ tiêu</t>
  </si>
  <si>
    <t>1. Tại màn hình "Danh sách hồ sơ pháp lý" (Cá nhân, 31358001, D11) mở menu Thao tác → Xử lý hồ sơ của hồ sơ Chờ xem xét
2. Hover CN009</t>
  </si>
  <si>
    <t>Tooltip tên chỉ tiêu (BR-030)</t>
  </si>
  <si>
    <t>Kiểm tra quy tắc so sánh một giá trị</t>
  </si>
  <si>
    <t>Xem xét '  Hà Nội ', TCTD 'Hà Nội'</t>
  </si>
  <si>
    <t>Coi là giống, không tô nền (BR-048)</t>
  </si>
  <si>
    <t>Giá trị rỗng và NULL</t>
  </si>
  <si>
    <t>Xem xét NULL, TCTD chuỗi rỗng ''</t>
  </si>
  <si>
    <t>Khác hoa thường</t>
  </si>
  <si>
    <t>Xem xét 'NGUYỄN VĂN A', CIC 'Nguyễn Văn A'</t>
  </si>
  <si>
    <t>Coi là khác, tô nền ô CIC (assumption Q11)</t>
  </si>
  <si>
    <t>Khác một ký tự</t>
  </si>
  <si>
    <t>Xem xét '001085012345', TCTD '001085012346'</t>
  </si>
  <si>
    <t>Coi là khác, tô nền ô TCTD</t>
  </si>
  <si>
    <t>Kiểm tra tóm tắt và công tắc chỉ hiện khác biệt</t>
  </si>
  <si>
    <t>Có khác biệt</t>
  </si>
  <si>
    <t>5 dòng khác, 1 quan trọng</t>
  </si>
  <si>
    <t>1. Tại màn hình "Danh sách hồ sơ pháp lý" (Cá nhân, 31358001, D11) mở menu Thao tác → Xử lý hồ sơ của hồ sơ Chờ xem xét
2. Bật công tắc</t>
  </si>
  <si>
    <t>Tóm tắt "5 chỉ tiêu khác biệt, 1 chỉ tiêu quan trọng"; bảng chỉ còn 5 dòng và tiêu đề nhóm chứa chúng (BR-045)</t>
  </si>
  <si>
    <t>Một dòng khác ở cả hai cột</t>
  </si>
  <si>
    <t>CN003 khác TCTD và CIC</t>
  </si>
  <si>
    <t>Tính là 1 chỉ tiêu khác biệt (assumption Q10)</t>
  </si>
  <si>
    <t>Không có khác biệt</t>
  </si>
  <si>
    <t>Hồ sơ trùng cả 2 cột</t>
  </si>
  <si>
    <t>Tóm tắt "0 chỉ tiêu khác biệt"; bảng chỉ còn tiêu đề cột, không có dòng chỉ tiêu</t>
  </si>
  <si>
    <t>Kiểm tra loại khách hàng lệch giữa hai thẻ</t>
  </si>
  <si>
    <t>Lệch Loại KH</t>
  </si>
  <si>
    <t>Xem xét: Cá nhân; CIC: Tổ chức</t>
  </si>
  <si>
    <t>Tô nền cả hai ô Loại khách hàng; vẫn cho Cập nhật / Từ chối (BR-047, AC#4, assumption Q15)</t>
  </si>
  <si>
    <t>Kiểm tra so sánh dạng bảng TC024 Vốn điều lệ</t>
  </si>
  <si>
    <t>Khớp trường khóa ở cả hai cột</t>
  </si>
  <si>
    <t>TC0241 giống nhau, chỉ tiêu con khác</t>
  </si>
  <si>
    <t>1. Tại màn hình "Danh sách hồ sơ pháp lý" (Tổ chức, 31358001, D11) mở Xử lý hồ sơ của hồ sơ tổ chức Chờ xem xét</t>
  </si>
  <si>
    <t>Xếp cùng hàng; so từng chỉ tiêu con theo BR-048, tô ô khác (BR-049)</t>
  </si>
  <si>
    <t>Không tìm thấy ở hồ sơ tại TCTD</t>
  </si>
  <si>
    <t>TC0241 chỉ có ở hồ sơ đang xem xét và CIC</t>
  </si>
  <si>
    <t>Ô cột TCTD để trống và coi là khác biệt (BR-049 bước 2)</t>
  </si>
  <si>
    <t>Bản ghi chỉ có ở TCTD hoặc CIC</t>
  </si>
  <si>
    <t>TC0241 chỉ có ở hồ sơ tại CIC</t>
  </si>
  <si>
    <t>Thêm hàng mới, ô cột đang xem xét để trống, coi là khác biệt (BR-049 bước 3)</t>
  </si>
  <si>
    <t>Trường khóa trùng hoặc rỗng</t>
  </si>
  <si>
    <t>2 bản ghi cùng TC0241; 1 bản ghi TC0241 rỗng</t>
  </si>
  <si>
    <t>Mỗi bản ghi một hàng, coi là khác biệt (assumption Q12)</t>
  </si>
  <si>
    <t>Kiểm tra so sánh dạng bảng TC025 Thông tin người đại diện</t>
  </si>
  <si>
    <t>TC0252 giống nhau, chỉ tiêu con khác</t>
  </si>
  <si>
    <t>TC0252 chỉ có ở hồ sơ đang xem xét và CIC</t>
  </si>
  <si>
    <t>TC0252 chỉ có ở hồ sơ tại CIC</t>
  </si>
  <si>
    <t>2 bản ghi cùng TC0252; 1 bản ghi TC0252 rỗng</t>
  </si>
  <si>
    <t>Kiểm tra so sánh dạng bảng TC026 Thành viên HĐQT/HĐTV</t>
  </si>
  <si>
    <t>TC0262 giống nhau, chỉ tiêu con khác</t>
  </si>
  <si>
    <t>TC0262 chỉ có ở hồ sơ đang xem xét và CIC</t>
  </si>
  <si>
    <t>TC0262 chỉ có ở hồ sơ tại CIC</t>
  </si>
  <si>
    <t>2 bản ghi cùng TC0262; 1 bản ghi TC0262 rỗng</t>
  </si>
  <si>
    <t>Kiểm tra cập nhật thành công</t>
  </si>
  <si>
    <t>Kiểm tra cập nhật với lý do hợp lệ</t>
  </si>
  <si>
    <t>Xác nhận cập nhật</t>
  </si>
  <si>
    <t>Lý do 'Đã xác minh với đơn vị'</t>
  </si>
  <si>
    <t>1. Tại màn hình "Danh sách hồ sơ pháp lý" (Cá nhân, 31358001, D11) mở menu Thao tác → Xử lý hồ sơ của hồ sơ Chờ xem xét
2. Click Cập nhật
3. Nhập Lý do
4. Click Cập nhật trên popup "Xác nhận cập nhật thông tin hồ sơ"</t>
  </si>
  <si>
    <t>Toast SUC_001; hồ sơ chuyển Đã xử lý; lý do được lưu; popup và màn xử lý đóng, về màn hình "Danh sách hồ sơ pháp lý" đã tải lại (BR-040, AC#4)
SQL đối soát (mẫu):
SELECT * FROM &lt;HO_SO_PHAP_LY&gt; WHERE LOAI_DU_LIEU = 'Pháp lý' AND TRANG_THAI_DU_LIEU = 'Hợp lệ' AND MA_TEP IN ('D10','D11','Q11') AND MA_KH = '&lt;mã KH&gt;' AND TRANG_THAI = 'Đã xử lý' AND LY_DO = 'Đã xác minh với đơn vị' ORDER BY NGAY_CAP_NHAT DESC;</t>
  </si>
  <si>
    <t>Kiểm tra ghi thông tin pháp lý vào kho TCTD</t>
  </si>
  <si>
    <t>Dữ liệu sau cập nhật</t>
  </si>
  <si>
    <t>1. Tại màn hình "Danh sách hồ sơ pháp lý" (Cá nhân, 31358001, D11) mở menu Thao tác → Xử lý hồ sơ của hồ sơ Chờ xem xét
2. Cập nhật thành công
3. Truy vấn kho TCTD theo Mã CIC</t>
  </si>
  <si>
    <t>Kho TCTD có bản ghi mang giá trị của hồ sơ vừa xác nhận theo Mã CIC (BR-040, Q02)
SQL đối soát (mẫu):
SELECT * FROM &lt;KHO_TCTD&gt; WHERE LOAI_DU_LIEU = 'Pháp lý' AND TRANG_THAI_DU_LIEU = 'Hợp lệ' AND MA_TEP IN ('D10','D11','Q11') AND MA_CIC = '&lt;Mã CIC&gt;' ORDER BY NGAY_BAO_CAO DESC;</t>
  </si>
  <si>
    <t>Kiểm tra kho chuẩn CICinfo không đổi</t>
  </si>
  <si>
    <t>Dữ liệu CICinfo sau cập nhật</t>
  </si>
  <si>
    <t>1. Tại màn hình "Danh sách hồ sơ pháp lý" (Cá nhân, 31358001, D11) mở menu Thao tác → Xử lý hồ sơ của hồ sơ Chờ xem xét
2. Ghi nhận giá trị cột CIC
3. Cập nhật thành công
4. Mở hồ sơ khác cùng KH</t>
  </si>
  <si>
    <t>Cột Hồ sơ khách hàng tại CIC vẫn hiển thị giá trị cũ (CICinfo không bị cập nhật) — Q02, Dữ liệu và tích hợp #3</t>
  </si>
  <si>
    <t>Kiểm tra hồ sơ vừa xác nhận là phiên bản mới nhất tại TCTD</t>
  </si>
  <si>
    <t>Phiên bản cột TCTD sau cập nhật</t>
  </si>
  <si>
    <t>1. Tại màn hình "Danh sách hồ sơ pháp lý" (Cá nhân, 31358001, D11) mở menu Thao tác → Xử lý hồ sơ của hồ sơ Chờ xem xét
2. Cập nhật hồ sơ A thành công
3. Mở hồ sơ Chờ xem xét khác cùng KH</t>
  </si>
  <si>
    <t>Dropdown Ngày báo cáo có hồ sơ A là phiên bản mới nhất, được chọn mặc định (Q02)</t>
  </si>
  <si>
    <t>Kiểm tra ghi lịch sử cập nhật</t>
  </si>
  <si>
    <t>Dòng lịch sử sau cập nhật</t>
  </si>
  <si>
    <t>1. Tại màn hình "Danh sách hồ sơ pháp lý" (Cá nhân, 31358001, D11) mở menu Thao tác → Xử lý hồ sơ của hồ sơ Chờ xem xét
2. Cập nhật thành công
3. Xem chi tiết hồ sơ → tab Lịch sử</t>
  </si>
  <si>
    <t>Có dòng "Cập nhật", Người cập nhật cbxl01, Mô tả = lý do (BR-031)</t>
  </si>
  <si>
    <t>Kiểm tra chuyển xác thực C06 khi đổi trường định danh</t>
  </si>
  <si>
    <t>Gửi C06</t>
  </si>
  <si>
    <t>KH cá nhân đổi CN008 (số CCCD)</t>
  </si>
  <si>
    <t>1. Tại màn hình "Danh sách hồ sơ pháp lý" (Cá nhân, 31358001, D11) mở menu Thao tác → Xử lý hồ sơ của hồ sơ Chờ xem xét
2. Cập nhật thành công</t>
  </si>
  <si>
    <t>Thông tin CN008 thay đổi được chuyển sang quy trình xác thực C06 — kiểm tra tại FUNC-XLDL-035 (BR-010, assumption Q16)</t>
  </si>
  <si>
    <t>Kiểm tra không chuyển C06 khi không đổi trường định danh</t>
  </si>
  <si>
    <t>Không gửi C06</t>
  </si>
  <si>
    <t>KH cá nhân chỉ đổi CN003 (địa chỉ)</t>
  </si>
  <si>
    <t>Không phát sinh yêu cầu xác thực C06 (BR-010)</t>
  </si>
  <si>
    <t>Kiểm tra gửi kiểm tra nghi trùng mã CIC</t>
  </si>
  <si>
    <t>Gửi FUNC-XLDL-013</t>
  </si>
  <si>
    <t>KH vừa cập nhật được gửi sang kiểm tra nghi trùng — kiểm tra tại danh sách cảnh báo FUNC-XLDL-013 (BR-011)</t>
  </si>
  <si>
    <t>Kiểm tra gửi INF_011 khi tệp hết hồ sơ chờ xem xét</t>
  </si>
  <si>
    <t>Thông báo đơn vị báo cáo</t>
  </si>
  <si>
    <t>Tệp còn 1 hồ sơ Chờ xem xét; trước đó đã có 2 hồ sơ Từ chối</t>
  </si>
  <si>
    <t>1. Tại màn hình "Danh sách hồ sơ pháp lý" (Cá nhân, 31358001, D11) mở menu Thao tác → Xử lý hồ sơ của hồ sơ Chờ xem xét
2. Cập nhật hồ sơ chờ cuối cùng của tệp</t>
  </si>
  <si>
    <t>Đơn vị cung cấp nhận Push + Email INF_011 "Tệp &lt;tên tệp&gt; có 2 hồ sơ pháp lý bị từ chối..." kèm danh sách, lý do, liên kết FUNC-WEB-002 (BR-012, assumption Q08)</t>
  </si>
  <si>
    <t>Kiểm tra không gửi INF_011 khi tệp còn hồ sơ chờ xem xét</t>
  </si>
  <si>
    <t>Chưa đủ điều kiện gửi</t>
  </si>
  <si>
    <t>Tệp còn 3 hồ sơ Chờ xem xét</t>
  </si>
  <si>
    <t>1. Tại màn hình "Danh sách hồ sơ pháp lý" (Cá nhân, 31358001, D11) mở menu Thao tác → Xử lý hồ sơ của hồ sơ Chờ xem xét
2. Cập nhật 1 hồ sơ</t>
  </si>
  <si>
    <t>Không gửi INF_011 (BR-012)</t>
  </si>
  <si>
    <t>Kiểm tra không gửi INF_011 khi tệp không có hồ sơ từ chối</t>
  </si>
  <si>
    <t>0 hồ sơ Từ chối</t>
  </si>
  <si>
    <t>Mọi hồ sơ của tệp đều được Cập nhật</t>
  </si>
  <si>
    <t>1. Tại màn hình "Danh sách hồ sơ pháp lý" (Cá nhân, 31358001, D11) mở menu Thao tác → Xử lý hồ sơ của hồ sơ Chờ xem xét
2. Cập nhật hồ sơ chờ cuối cùng</t>
  </si>
  <si>
    <t>Không gửi INF_011 (assumption Q08)</t>
  </si>
  <si>
    <t>Kiểm tra từ chối thành công</t>
  </si>
  <si>
    <t>Kiểm tra từ chối với lý do hợp lệ</t>
  </si>
  <si>
    <t>Xác nhận từ chối</t>
  </si>
  <si>
    <t>Lý do 'Sai số CCCD, đề nghị gửi lại'</t>
  </si>
  <si>
    <t>1. Tại màn hình "Danh sách hồ sơ pháp lý" (Cá nhân, 31358001, D11) mở menu Thao tác → Xử lý hồ sơ của hồ sơ Chờ xem xét
2. Click Từ chối
3. Nhập Lý do
4. Click Từ chối trên popup "Xác nhận từ chối cập nhật thông tin hồ sơ"</t>
  </si>
  <si>
    <t>Hồ sơ chuyển Từ chối, lưu lý do; popup và màn đóng, về màn hình "Danh sách hồ sơ pháp lý" (BR-041, AC#5)
SQL đối soát (mẫu):
SELECT * FROM &lt;HO_SO_PHAP_LY&gt; WHERE LOAI_DU_LIEU = 'Pháp lý' AND TRANG_THAI_DU_LIEU = 'Hợp lệ' AND MA_TEP IN ('D10','D11','Q11') AND MA_KH = '&lt;mã KH&gt;' AND TRANG_THAI = 'Từ chối' ORDER BY NGAY_CAP_NHAT DESC;</t>
  </si>
  <si>
    <t>Kiểm tra kho TCTD giữ nguyên khi từ chối</t>
  </si>
  <si>
    <t>Dữ liệu sau từ chối</t>
  </si>
  <si>
    <t>1. Tại màn hình "Danh sách hồ sơ pháp lý" (Cá nhân, 31358001, D11) mở menu Thao tác → Xử lý hồ sơ của hồ sơ Chờ xem xét
2. Từ chối thành công
3. Truy vấn kho TCTD theo Mã CIC</t>
  </si>
  <si>
    <t>Không phát sinh bản ghi mới; giá trị kho TCTD giữ nguyên (BR-041)</t>
  </si>
  <si>
    <t>Kiểm tra ghi lịch sử từ chối</t>
  </si>
  <si>
    <t>Dòng lịch sử sau từ chối</t>
  </si>
  <si>
    <t>1. Tại màn hình "Danh sách hồ sơ pháp lý" (Cá nhân, 31358001, D11) mở menu Thao tác → Xử lý hồ sơ của hồ sơ Chờ xem xét
2. Từ chối thành công
3. Xem tab Lịch sử</t>
  </si>
  <si>
    <t>Có dòng "Từ chối", Mô tả = lý do từ chối (BR-031)</t>
  </si>
  <si>
    <t>Kiểm tra gửi INF_011 sau khi từ chối hồ sơ chờ cuối cùng</t>
  </si>
  <si>
    <t>Thông báo đơn vị</t>
  </si>
  <si>
    <t>Tệp còn đúng 1 hồ sơ chờ</t>
  </si>
  <si>
    <t>1. Tại màn hình "Danh sách hồ sơ pháp lý" (Cá nhân, 31358001, D11) mở menu Thao tác → Xử lý hồ sơ của hồ sơ Chờ xem xét
2. Từ chối hồ sơ đó</t>
  </si>
  <si>
    <t>Gửi INF_011 với so_luong = số hồ sơ Từ chối của tệp, kèm lý do từng hồ sơ (BR-012)</t>
  </si>
  <si>
    <t>Kiểm tra xử lý không thành công</t>
  </si>
  <si>
    <t>Kiểm tra xác nhận khi chưa nhập lý do</t>
  </si>
  <si>
    <t>Lý do trống</t>
  </si>
  <si>
    <t>1. Tại màn hình "Danh sách hồ sơ pháp lý" (Cá nhân, 31358001, D11) mở menu Thao tác → Xử lý hồ sơ của hồ sơ Chờ xem xét
2. Click Cập nhật
3. Để trống Lý do
4. Click Cập nhật trên popup</t>
  </si>
  <si>
    <t>Popup giữ; ERR_001 dưới ô Lý do; không ghi gì vào kho (BR-038, AC#3)</t>
  </si>
  <si>
    <t>Kiểm tra hủy trên popup xác nhận</t>
  </si>
  <si>
    <t>Hủy popup "Xác nhận cập nhật thông tin hồ sơ" / popup "Xác nhận từ chối cập nhật thông tin hồ sơ"</t>
  </si>
  <si>
    <t>1. Tại màn hình "Danh sách hồ sơ pháp lý" (Cá nhân, 31358001, D11) mở menu Thao tác → Xử lý hồ sơ của hồ sơ Chờ xem xét
2. Click Từ chối
3. Nhập Lý do
4. Click Hủy</t>
  </si>
  <si>
    <t>Popup đóng, ở lại màn xử lý; hồ sơ vẫn Chờ xem xét (ALT-02)</t>
  </si>
  <si>
    <t>Kiểm tra hủy màn xử lý</t>
  </si>
  <si>
    <t>Hủy popup "Xử lý hồ sơ pháp lý tệp D10/D11"</t>
  </si>
  <si>
    <t>1. Tại màn hình "Danh sách hồ sơ pháp lý" (Cá nhân, 31358001, D11) mở menu Thao tác → Xử lý hồ sơ của hồ sơ Chờ xem xét
2. Click Hủy</t>
  </si>
  <si>
    <t>Về màn hình "Danh sách hồ sơ pháp lý"; hồ sơ vẫn Chờ xem xét, không ghi lịch sử (ALT-03)</t>
  </si>
  <si>
    <t>Kiểm tra hồ sơ đã được cán bộ khác xử lý</t>
  </si>
  <si>
    <t>Hai cán bộ cùng xử lý</t>
  </si>
  <si>
    <t>cbxl01 và cbxl02 cùng mở hồ sơ X; cbxl02 Cập nhật trước</t>
  </si>
  <si>
    <t>1. cbxl01: Tại màn hình "Danh sách hồ sơ pháp lý" (Cá nhân, 31358001, D11) mở menu Thao tác → Xử lý hồ sơ của hồ sơ Chờ xem xét
2. cbxl02 Cập nhật hồ sơ X thành công
3. cbxl01 click Từ chối, nhập Lý do, xác nhận</t>
  </si>
  <si>
    <t>cbxl01 bị chặn: toast "Dữ liệu đã bị thay đổi bởi người khác. Vui lòng làm mới trang."; sau khi toast tắt, hệ thống tự thoát popup/màn hiện tại và reload màn hình "Danh sách hồ sơ pháp lý"; hồ sơ X giữ Đã xử lý, không ghi lý do của cbxl01 (Q06)</t>
  </si>
  <si>
    <t>Kiểm tra mở xử lý từ danh sách cũ</t>
  </si>
  <si>
    <t>Danh sách chưa tải lại</t>
  </si>
  <si>
    <t>Hồ sơ X đã Đã xử lý nhưng màn hình "Danh sách hồ sơ pháp lý" của cbxl01 chưa tải lại</t>
  </si>
  <si>
    <t>1. cbxl01 click Xử lý hồ sơ X từ danh sách cũ
2. Xác nhận Cập nhật</t>
  </si>
  <si>
    <t>Bị chặn: toast "Dữ liệu đã bị thay đổi bởi người khác. Vui lòng làm mới trang."; sau khi toast tắt, tự thoát popup/màn hiện tại và reload màn hình "Danh sách hồ sơ pháp lý" (Q06)</t>
  </si>
  <si>
    <t>Kiểm tra hai hồ sơ chờ xem xét cùng khách hàng xử lý ngược thứ tự</t>
  </si>
  <si>
    <t>Lần xác nhận sau cùng thắng</t>
  </si>
  <si>
    <t>Kỳ 30/08 TTC04 = 'A1', kỳ 30/09 TTC04 = 'A2'</t>
  </si>
  <si>
    <t>1. Cập nhật hồ sơ kỳ 30/09
2. Cập nhật hồ sơ kỳ 30/08</t>
  </si>
  <si>
    <t>Cả 2 đều được phép; kho TCTD lưu 'A1' theo lần xác nhận sau cùng (Q05)</t>
  </si>
  <si>
    <t>Kiểm tra thu hồi quyền trong lúc đang xử lý</t>
  </si>
  <si>
    <t>Quyền bị thu hồi giữa chừng</t>
  </si>
  <si>
    <t>Quản trị thu hồi quyền chức năng của cbxl01 khi đang mở popup "Xử lý hồ sơ pháp lý tệp D10/D11"</t>
  </si>
  <si>
    <t>1. Tại màn hình "Danh sách hồ sơ pháp lý" (Cá nhân, 31358001, D11) mở menu Thao tác → Xử lý hồ sơ của hồ sơ Chờ xem xét
2. Thu hồi quyền
3. Click Cập nhật, nhập Lý do, xác nhận</t>
  </si>
  <si>
    <t>Thao tác bị chặn, toast ERR_011; dữ liệu không đổi (Q38)</t>
  </si>
  <si>
    <t>Kiểm tra cập nhật đồng thời cùng hồ sơ tại 2 tab</t>
  </si>
  <si>
    <t>Cùng tài khoản, 2 tab trình duyệt</t>
  </si>
  <si>
    <t>cbxl01 mở cùng hồ sơ X ở Tab 1 và Tab 2</t>
  </si>
  <si>
    <t>1. Tab 1 và Tab 2: Tại màn hình "Danh sách hồ sơ pháp lý" (Cá nhân, 31358001, D11) mở menu Thao tác → Xử lý hồ sơ của hồ sơ Chờ xem xét, click Cập nhật, nhập Lý do
2. Tab 1: xác nhận Cập nhật → thành công
3. Tab 2: xác nhận Cập nhật</t>
  </si>
  <si>
    <t>Tab 2 bị chặn: toast "Dữ liệu đã bị thay đổi bởi người khác. Vui lòng làm mới trang.", tự thoát popup và reload sau khi toast tắt; hồ sơ chỉ được cập nhật 1 lần (Q06, theo mẫu common1)</t>
  </si>
  <si>
    <t>Kiểm tra từ chối đồng thời cùng hồ sơ tại 2 tab</t>
  </si>
  <si>
    <t>1. Tab 1 và Tab 2: Tại màn hình "Danh sách hồ sơ pháp lý" (Cá nhân, 31358001, D11) mở menu Thao tác → Xử lý hồ sơ của hồ sơ Chờ xem xét, click Từ chối, nhập Lý do
2. Tab 1: xác nhận Từ chối → thành công
3. Tab 2: xác nhận Từ chối</t>
  </si>
  <si>
    <t>Tab 2 bị chặn: toast "Dữ liệu đã bị thay đổi bởi người khác. Vui lòng làm mới trang.", tự thoát popup và reload; hồ sơ giữ lý do của Tab 1 (Q06)</t>
  </si>
  <si>
    <t>Kiểm tra hai cán bộ cùng từ chối một hồ sơ</t>
  </si>
  <si>
    <t>Cùng thao tác, 2 người dùng</t>
  </si>
  <si>
    <t>cbxl01 và cbxl02 cùng từ chối hồ sơ X</t>
  </si>
  <si>
    <t>1. cbxl01 và cbxl02: Tại màn hình "Danh sách hồ sơ pháp lý" (Cá nhân, 31358001, D11) mở menu Thao tác → Xử lý hồ sơ của hồ sơ Chờ xem xét, click Từ chối, nhập Lý do
2. cbxl01 xác nhận → thành công
3. cbxl02 xác nhận</t>
  </si>
  <si>
    <t>cbxl02 hiển thị toast "Dữ liệu đã bị thay đổi bởi người khác. Vui lòng làm mới trang.", tự thoát popup và reload sau khi tắt; hồ sơ giữ lý do của cbxl01 (Q06)</t>
  </si>
  <si>
    <t>Kiểm tra cập nhật khi API lỗi</t>
  </si>
  <si>
    <t>Cập nhật thất bại — API lỗi</t>
  </si>
  <si>
    <t>Giả lập API trả lỗi 500 / mất kết nối</t>
  </si>
  <si>
    <t>1. Tại màn hình "Danh sách hồ sơ pháp lý" (Cá nhân, 31358001, D11) mở menu Thao tác → Xử lý hồ sơ của hồ sơ Chờ xem xét
2. Click Cập nhật
3. Nhập Lý do hợp lệ
4. Click Cập nhật trên popup xác nhận</t>
  </si>
  <si>
    <t>Hệ thống hiển thị thông báo "Đã có lỗi xảy ra. Vui lòng thử lại."; hồ sơ giữ trạng thái Chờ xem xét, không ghi lý do (theo mẫu common1)</t>
  </si>
  <si>
    <t>Kiểm tra cập nhật khi API timeout</t>
  </si>
  <si>
    <t>Cập nhật thất bại — API timeout</t>
  </si>
  <si>
    <t>Giả lập API phản hồi quá thời gian chờ</t>
  </si>
  <si>
    <t>Hiển thị loading trong thời gian chờ; sau đó hệ thống hiển thị thông báo "Đã có lỗi xảy ra. Vui lòng thử lại."; hồ sơ giữ trạng thái Chờ xem xét, không ghi lý do (theo mẫu common1)</t>
  </si>
  <si>
    <t>Kiểm tra cập nhật khi hết phiên đăng nhập</t>
  </si>
  <si>
    <t>Cập nhật khi hết token</t>
  </si>
  <si>
    <t>Token phiên đăng nhập hết hạn trước khi xác nhận</t>
  </si>
  <si>
    <t>1. Tại màn hình "Danh sách hồ sơ pháp lý" (Cá nhân, 31358001, D11) mở menu Thao tác → Xử lý hồ sơ của hồ sơ Chờ xem xét
2. Click Cập nhật
3. Nhập Lý do hợp lệ
4. Chờ token hết hạn
5. Click Cập nhật trên popup xác nhận</t>
  </si>
  <si>
    <t>Hết token đăng nhập, điều hướng về màn hình đăng nhập; đăng nhập lại, hồ sơ không bị chuyển trạng thái (theo mẫu common1)</t>
  </si>
  <si>
    <t>Kiểm tra từ chối khi API lỗi</t>
  </si>
  <si>
    <t>Từ chối thất bại — API lỗi</t>
  </si>
  <si>
    <t>1. Tại màn hình "Danh sách hồ sơ pháp lý" (Cá nhân, 31358001, D11) mở menu Thao tác → Xử lý hồ sơ của hồ sơ Chờ xem xét
2. Click Từ chối
3. Nhập Lý do hợp lệ
4. Click Từ chối trên popup xác nhận</t>
  </si>
  <si>
    <t>Kiểm tra từ chối khi API timeout</t>
  </si>
  <si>
    <t>Từ chối thất bại — API timeout</t>
  </si>
  <si>
    <t>Kiểm tra từ chối khi hết phiên đăng nhập</t>
  </si>
  <si>
    <t>Từ chối khi hết token</t>
  </si>
  <si>
    <t>1. Tại màn hình "Danh sách hồ sơ pháp lý" (Cá nhân, 31358001, D11) mở menu Thao tác → Xử lý hồ sơ của hồ sơ Chờ xem xét
2. Click Từ chối
3. Nhập Lý do hợp lệ
4. Chờ token hết hạn
5. Click Từ chối trên popup xác nhận</t>
  </si>
  <si>
    <t>Hiển thị popup "Xử lý hồ sơ pháp lý tệp Q11" khi mở</t>
  </si>
  <si>
    <t>1. Tại màn hình "Danh sách hồ sơ pháp lý" (Cá nhân, 31358001, Q11) mở menu Thao tác → Xử lý hồ sơ của hồ sơ Chờ xem xét
2. Quan sát popup "Xử lý hồ sơ pháp lý tệp Q11"</t>
  </si>
  <si>
    <t>Popup "Xử lý hồ sơ pháp lý tệp Q11" hiển thị:
- Thẻ hồ sơ đang xem xét: Tên KH, Mã khách hàng, Loại khách hàng, Đầu mối báo cáo, Ngày báo cáo, Trạng thái
- Thẻ Hồ sơ tại CIC: Mã CIC, Loại khách hàng, TCTD có liên quan
- Dòng "So sánh thông tin chỉ tiêu": tóm tắt số khác biệt, chú thích ★ / ô tô nền, công tắc "Chỉ hiện chỉ tiêu khác biệt" (tắt)
- Bảng 3 cột giá trị: Hồ sơ đang xem xét / Hồ sơ khách hàng tại TCTD (ô chọn Ngày báo cáo) / Hồ sơ khách hàng tại CIC (nhãn C06)
- Nút Hủy, Từ chối, Cập nhật</t>
  </si>
  <si>
    <t>1. Tại màn hình "Danh sách hồ sơ pháp lý" (Cá nhân, 31358001, Q11) mở menu Thao tác → Xử lý hồ sơ của hồ sơ Chờ xem xét
2. Quan sát toàn bộ label, control, button</t>
  </si>
  <si>
    <t>1. Tại màn hình "Danh sách hồ sơ pháp lý" (Cá nhân, 31358001, Q11) mở menu Thao tác → Xử lý hồ sơ của hồ sơ Chờ xem xét
2. Nhấn phím Tab liên tục</t>
  </si>
  <si>
    <t>1. Tại màn hình "Danh sách hồ sơ pháp lý" (Cá nhân, 31358001, Q11) mở menu Thao tác → Xử lý hồ sơ của hồ sơ Chờ xem xét
2. Focus control cuối cùng
3. Nhấn Shift+Tab liên tục</t>
  </si>
  <si>
    <t>1. Tại màn hình "Danh sách hồ sơ pháp lý" (Cá nhân, 31358001, Q11) mở menu Thao tác → Xử lý hồ sơ của hồ sơ Chờ xem xét
2. Focus control
3. Nhấn phím Enter</t>
  </si>
  <si>
    <t>1. Tại màn hình "Danh sách hồ sơ pháp lý" (Cá nhân, 31358001, Q11) mở menu Thao tác → Xử lý hồ sơ của hồ sơ Chờ xem xét
2. Nhấn Ctrl+− / Ctrl+= để đổi mức zoom</t>
  </si>
  <si>
    <t>1. Tại màn hình "Danh sách hồ sơ pháp lý" (Cá nhân, 31358001, Q11) mở menu Thao tác → Xử lý hồ sơ của hồ sơ Chờ xem xét
2. Rà các nhãn, giá trị có từ viết tắt</t>
  </si>
  <si>
    <t>1. Tại màn hình "Danh sách hồ sơ pháp lý" (Cá nhân, 31358001, Q11) mở menu Thao tác → Xử lý hồ sơ của hồ sơ Chờ xem xét
2. Quan sát các button: Hủy, Từ chối, Cập nhật</t>
  </si>
  <si>
    <t>1. Tại màn hình "Danh sách hồ sơ pháp lý" (Cá nhân, 31358001, Q11) mở menu Thao tác → Xử lý hồ sơ của hồ sơ Chờ xem xét
2. Quan sát trạng thái các button</t>
  </si>
  <si>
    <t>1. Tại màn hình "Danh sách hồ sơ pháp lý" (Cá nhân, 31358001, Q11) mở menu Thao tác → Xử lý hồ sơ của hồ sơ Chờ xem xét
2. Click lần lượt từng button</t>
  </si>
  <si>
    <t>1. Tại màn hình "Danh sách hồ sơ pháp lý" (Cá nhân, 31358001, Q11) mở menu Thao tác → Xử lý hồ sơ của hồ sơ Chờ xem xét
2. Click button gọi API
3. Click tiếp nhiều lần khi đang xử lý</t>
  </si>
  <si>
    <t>1. Tại màn hình "Danh sách hồ sơ pháp lý" (Cá nhân, 31358001, Q11) mở menu Thao tác → Xử lý hồ sơ của hồ sơ Chờ xem xét
2. Chọn điều kiện, Tìm kiếm
3. Nhấn F5 hoặc chuyển sang chức năng khác rồi quay lại</t>
  </si>
  <si>
    <t>1. Tại màn hình "Danh sách hồ sơ pháp lý" (Cá nhân, 31358001, Q11) mở menu Thao tác → Xử lý hồ sơ của hồ sơ Chờ xem xét
2. Kiểm tra hiển thị title</t>
  </si>
  <si>
    <t>1. Tại màn hình "Danh sách hồ sơ pháp lý" (Cá nhân, 31358001, Q11) mở menu Thao tác → Xử lý hồ sơ của hồ sơ Chờ xem xét
2. Click / thử nhập vào title</t>
  </si>
  <si>
    <t>1. Tại màn hình "Danh sách hồ sơ pháp lý" (Cá nhân, 31358001, Q11) mở menu Thao tác → Xử lý hồ sơ của hồ sơ Chờ xem xét
2. Quan sát Tên khách hàng</t>
  </si>
  <si>
    <t>1. Tại màn hình "Danh sách hồ sơ pháp lý" (Cá nhân, 31358001, Q11) mở menu Thao tác → Xử lý hồ sơ của hồ sơ Chờ xem xét
2. Quan sát Mã khách hàng</t>
  </si>
  <si>
    <t>1. Tại màn hình "Danh sách hồ sơ pháp lý" (Cá nhân, 31358001, Q11) mở menu Thao tác → Xử lý hồ sơ của hồ sơ Chờ xem xét
2. Quan sát Loại khách hàng</t>
  </si>
  <si>
    <t>1. Tại màn hình "Danh sách hồ sơ pháp lý" (Cá nhân, 31358001, Q11) mở menu Thao tác → Xử lý hồ sơ của hồ sơ Chờ xem xét
2. Quan sát Đầu mối báo cáo</t>
  </si>
  <si>
    <t>1. Tại màn hình "Danh sách hồ sơ pháp lý" (Cá nhân, 31358001, Q11) mở menu Thao tác → Xử lý hồ sơ của hồ sơ Chờ xem xét
2. Quan sát Ngày báo cáo</t>
  </si>
  <si>
    <t>1. Tại màn hình "Danh sách hồ sơ pháp lý" (Cá nhân, 31358001, Q11) mở menu Thao tác → Xử lý hồ sơ của hồ sơ Chờ xem xét
2. Quan sát Trạng thái</t>
  </si>
  <si>
    <t>1. Tại màn hình "Danh sách hồ sơ pháp lý" (Cá nhân, 31358001, Q11) mở menu Thao tác → Xử lý hồ sơ của hồ sơ Chờ xem xét
2. Quan sát Mã CIC
3. Thử click / sửa Mã CIC</t>
  </si>
  <si>
    <t>1. Tại màn hình "Danh sách hồ sơ pháp lý" (Cá nhân, 31358001, Q11) mở menu Thao tác → Xử lý hồ sơ của hồ sơ Chờ xem xét</t>
  </si>
  <si>
    <t>1. Tại màn hình "Danh sách hồ sơ pháp lý" (Cá nhân, 31358001, Q11) mở menu Thao tác → Xử lý hồ sơ của hồ sơ Chờ xem xét
2. Hover mã 68202001</t>
  </si>
  <si>
    <t>1. Tại màn hình "Danh sách hồ sơ pháp lý" (Cá nhân, 31358001, Q11) mở menu Thao tác → Xử lý hồ sơ của hồ sơ Chờ xem xét
2. Quan sát checkbox Chỉ hiện chỉ tiêu khác biệt (công tắc)</t>
  </si>
  <si>
    <t>1. Tại màn hình "Danh sách hồ sơ pháp lý" (Cá nhân, 31358001, Q11) mở menu Thao tác → Xử lý hồ sơ của hồ sơ Chờ xem xét
2. Tick checkbox Chỉ hiện chỉ tiêu khác biệt (công tắc)</t>
  </si>
  <si>
    <t>1. Tại màn hình "Danh sách hồ sơ pháp lý" (Cá nhân, 31358001, Q11) mở menu Thao tác → Xử lý hồ sơ của hồ sơ Chờ xem xét
2. Tick rồi bỏ tick checkbox Chỉ hiện chỉ tiêu khác biệt (công tắc)</t>
  </si>
  <si>
    <t>1. Tại màn hình "Danh sách hồ sơ pháp lý" (Cá nhân, 31358001, Q11) mở menu Thao tác → Xử lý hồ sơ của hồ sơ Chờ xem xét
2. Focus checkbox Chỉ hiện chỉ tiêu khác biệt (công tắc) bằng Tab
3. Nhấn Space</t>
  </si>
  <si>
    <t>1. Tại màn hình "Danh sách hồ sơ pháp lý" (Cá nhân, 31358001, Q11) mở menu Thao tác → Xử lý hồ sơ của hồ sơ Chờ xem xét
2. Bật / tắt công tắc
3. Click tiếp công tắc nhiều lần khi đang xử lý</t>
  </si>
  <si>
    <t>1. Tại màn hình "Danh sách hồ sơ pháp lý" (Cá nhân, 31358001, Q11) mở menu Thao tác → Xử lý hồ sơ của hồ sơ Chờ xem xét
2. Quan sát Dropdown Ngày báo cáo (cột Hồ sơ khách hàng tại TCTD)</t>
  </si>
  <si>
    <t>1. Tại màn hình "Danh sách hồ sơ pháp lý" (Cá nhân, 31358001, Q11) mở menu Thao tác → Xử lý hồ sơ của hồ sơ Chờ xem xét
2. Quan sát giá trị Dropdown Ngày báo cáo (cột Hồ sơ khách hàng tại TCTD)</t>
  </si>
  <si>
    <t>1. Tại màn hình "Danh sách hồ sơ pháp lý" (Cá nhân, 31358001, Q11) mở menu Thao tác → Xử lý hồ sơ của hồ sơ Chờ xem xét
2. Quan sát placeholder Dropdown Ngày báo cáo (cột Hồ sơ khách hàng tại TCTD)</t>
  </si>
  <si>
    <t>1. Tại màn hình "Danh sách hồ sơ pháp lý" (Cá nhân, 31358001, Q11) mở menu Thao tác → Xử lý hồ sơ của hồ sơ Chờ xem xét
2. Quan sát nhãn / dấu (*) của Ngày báo cáo (cột Hồ sơ khách hàng tại TCTD)</t>
  </si>
  <si>
    <t>1. Tại màn hình "Danh sách hồ sơ pháp lý" (Cá nhân, 31358001, Q11) mở menu Thao tác → Xử lý hồ sơ của hồ sơ Chờ xem xét
2. Click mở Dropdown Ngày báo cáo (cột Hồ sơ khách hàng tại TCTD)</t>
  </si>
  <si>
    <t>1. Tại màn hình "Danh sách hồ sơ pháp lý" (Cá nhân, 31358001, Q11) mở menu Thao tác → Xử lý hồ sơ của hồ sơ Chờ xem xét, nhấn Tab/Shift+Tab focus vào Dropdown Ngày báo cáo (cột Hồ sơ khách hàng tại TCTD)
2. Nhấn phím Enter
3. Nhấn phím Up/Down
4. Nhấn phím Enter khi đang focus một giá trị
5. Nhấn Tab/Shift+Tab</t>
  </si>
  <si>
    <t>1. Tại màn hình "Danh sách hồ sơ pháp lý" (Cá nhân, 31358001, Q11) mở menu Thao tác → Xử lý hồ sơ của hồ sơ Chờ xem xét
2. Mở Dropdown Ngày báo cáo (cột Hồ sơ khách hàng tại TCTD)</t>
  </si>
  <si>
    <t>1. Tại màn hình "Danh sách hồ sơ pháp lý" (Cá nhân, 31358001, Q11) mở menu Thao tác → Xử lý hồ sơ của hồ sơ Chờ xem xét
2. Mở Dropdown Ngày báo cáo (cột Hồ sơ khách hàng tại TCTD)
3. Cuộn danh sách</t>
  </si>
  <si>
    <t>1. Tại màn hình "Danh sách hồ sơ pháp lý" (Cá nhân, 31358001, Q11) mở menu Thao tác → Xử lý hồ sơ của hồ sơ Chờ xem xét
2. Mở Dropdown Ngày báo cáo (cột Hồ sơ khách hàng tại TCTD)
3. Click một option</t>
  </si>
  <si>
    <t>1. Tại màn hình "Danh sách hồ sơ pháp lý" (Cá nhân, 31358001, Q11) mở menu Thao tác → Xử lý hồ sơ của hồ sơ Chờ xem xét
2. Chọn option thứ nhất
3. Mở lại và chọn option thứ hai</t>
  </si>
  <si>
    <t>1. Tại màn hình "Danh sách hồ sơ pháp lý" (Cá nhân, 31358001, Q11) mở menu Thao tác → Xử lý hồ sơ của hồ sơ Chờ xem xét
2. Chọn một option
3. Thực hiện bỏ chọn (icon x / phím Delete)</t>
  </si>
  <si>
    <t>1. Tại màn hình "Danh sách hồ sơ pháp lý" (Cá nhân, 31358001, Q11) mở menu Thao tác → Xử lý hồ sơ của hồ sơ Chờ xem xét
2. Thử xóa giá trị của Dropdown Ngày báo cáo (cột Hồ sơ khách hàng tại TCTD)</t>
  </si>
  <si>
    <t>1. Tại màn hình "Danh sách hồ sơ pháp lý" (Cá nhân, 31358001, Q11) mở menu Thao tác → Xử lý hồ sơ của hồ sơ Chờ xem xét
2. Quan sát cột Chỉ tiêu</t>
  </si>
  <si>
    <t>1. Tại màn hình "Danh sách hồ sơ pháp lý" (Cá nhân, 31358001, Q11) mở menu Thao tác → Xử lý hồ sơ của hồ sơ Chờ xem xét
2. Double-click / nhấn F2 vào ô của cột Chỉ tiêu</t>
  </si>
  <si>
    <t>1. Tại màn hình "Danh sách hồ sơ pháp lý" (Cá nhân, 31358001, Q11) mở menu Thao tác → Xử lý hồ sơ của hồ sơ Chờ xem xét
2. Quan sát header cột Chỉ tiêu</t>
  </si>
  <si>
    <t>1. Tại màn hình "Danh sách hồ sơ pháp lý" (Cá nhân, 31358001, Q11) mở menu Thao tác → Xử lý hồ sơ của hồ sơ Chờ xem xét
2. Quan sát cột Hồ sơ đang xem xét</t>
  </si>
  <si>
    <t>1. Tại màn hình "Danh sách hồ sơ pháp lý" (Cá nhân, 31358001, Q11) mở menu Thao tác → Xử lý hồ sơ của hồ sơ Chờ xem xét
2. Double-click / nhấn F2 vào ô của cột Hồ sơ đang xem xét</t>
  </si>
  <si>
    <t>1. Tại màn hình "Danh sách hồ sơ pháp lý" (Cá nhân, 31358001, Q11) mở menu Thao tác → Xử lý hồ sơ của hồ sơ Chờ xem xét
2. Quan sát header cột Hồ sơ đang xem xét</t>
  </si>
  <si>
    <t>1. Tại màn hình "Danh sách hồ sơ pháp lý" (Cá nhân, 31358001, Q11) mở menu Thao tác → Xử lý hồ sơ của hồ sơ Chờ xem xét
2. Quan sát cột Hồ sơ khách hàng tại TCTD</t>
  </si>
  <si>
    <t>1. Tại màn hình "Danh sách hồ sơ pháp lý" (Cá nhân, 31358001, Q11) mở menu Thao tác → Xử lý hồ sơ của hồ sơ Chờ xem xét
2. Double-click / nhấn F2 vào ô của cột Hồ sơ khách hàng tại TCTD</t>
  </si>
  <si>
    <t>1. Tại màn hình "Danh sách hồ sơ pháp lý" (Cá nhân, 31358001, Q11) mở menu Thao tác → Xử lý hồ sơ của hồ sơ Chờ xem xét
2. Quan sát header cột Hồ sơ khách hàng tại TCTD</t>
  </si>
  <si>
    <t>1. Tại màn hình "Danh sách hồ sơ pháp lý" (Cá nhân, 31358001, Q11) mở menu Thao tác → Xử lý hồ sơ của hồ sơ Chờ xem xét
2. Quan sát cột Hồ sơ khách hàng tại CIC</t>
  </si>
  <si>
    <t>1. Tại màn hình "Danh sách hồ sơ pháp lý" (Cá nhân, 31358001, Q11) mở menu Thao tác → Xử lý hồ sơ của hồ sơ Chờ xem xét
2. Double-click / nhấn F2 vào ô của cột Hồ sơ khách hàng tại CIC</t>
  </si>
  <si>
    <t>1. Tại màn hình "Danh sách hồ sơ pháp lý" (Cá nhân, 31358001, Q11) mở menu Thao tác → Xử lý hồ sơ của hồ sơ Chờ xem xét
2. Quan sát header cột Hồ sơ khách hàng tại CIC</t>
  </si>
  <si>
    <t>1. Tại màn hình "Danh sách hồ sơ pháp lý" (Cá nhân, 31358001, Q11) mở menu Thao tác → Xử lý hồ sơ của hồ sơ Chờ xem xét
2. Cuộn bảng xuống cuối</t>
  </si>
  <si>
    <t>1. Tại màn hình "Danh sách hồ sơ pháp lý" (Cá nhân, 31358001, Q11) mở menu Thao tác → Xử lý hồ sơ của hồ sơ Chờ xem xét
2. Quan sát nút Hủy</t>
  </si>
  <si>
    <t>Nút "Hủy" ở chân popup "Xử lý hồ sơ pháp lý tệp Q11"</t>
  </si>
  <si>
    <t>1. Tại màn hình "Danh sách hồ sơ pháp lý" (Cá nhân, 31358001, Q11) mở menu Thao tác → Xử lý hồ sơ của hồ sơ Chờ xem xét
2. Quan sát trạng thái nút Hủy theo từng điều kiện</t>
  </si>
  <si>
    <t>1. Tại màn hình "Danh sách hồ sơ pháp lý" (Cá nhân, 31358001, Q11) mở menu Thao tác → Xử lý hồ sơ của hồ sơ Chờ xem xét
2. Click nút Hủy</t>
  </si>
  <si>
    <t>1. Tại màn hình "Danh sách hồ sơ pháp lý" (Cá nhân, 31358001, Q11) mở menu Thao tác → Xử lý hồ sơ của hồ sơ Chờ xem xét
2. Quan sát nút Từ chối</t>
  </si>
  <si>
    <t>1. Tại màn hình "Danh sách hồ sơ pháp lý" (Cá nhân, 31358001, Q11) mở menu Thao tác → Xử lý hồ sơ của hồ sơ Chờ xem xét
2. Quan sát trạng thái nút Từ chối theo từng điều kiện</t>
  </si>
  <si>
    <t>1. Tại màn hình "Danh sách hồ sơ pháp lý" (Cá nhân, 31358001, Q11) mở menu Thao tác → Xử lý hồ sơ của hồ sơ Chờ xem xét
2. Click nút Từ chối</t>
  </si>
  <si>
    <t>1. Tại màn hình "Danh sách hồ sơ pháp lý" (Cá nhân, 31358001, Q11) mở menu Thao tác → Xử lý hồ sơ của hồ sơ Chờ xem xét
2. Quan sát nút Cập nhật</t>
  </si>
  <si>
    <t>1. Tại màn hình "Danh sách hồ sơ pháp lý" (Cá nhân, 31358001, Q11) mở menu Thao tác → Xử lý hồ sơ của hồ sơ Chờ xem xét
2. Quan sát trạng thái nút Cập nhật theo từng điều kiện</t>
  </si>
  <si>
    <t>1. Tại màn hình "Danh sách hồ sơ pháp lý" (Cá nhân, 31358001, Q11) mở menu Thao tác → Xử lý hồ sơ của hồ sơ Chờ xem xét
2. Click nút Cập nhật</t>
  </si>
  <si>
    <t>1. Tại màn hình "Danh sách hồ sơ pháp lý" (Cá nhân, 31358001, Q11) mở menu Thao tác → Xử lý hồ sơ của hồ sơ Chờ xem xét, click nút Cập nhật để mở popup "Xác nhận cập nhật thông tin hồ sơ"
2. Quan sát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</si>
  <si>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Quan sát toàn bộ label, control, button</t>
  </si>
  <si>
    <t>1. Tại màn hình "Danh sách hồ sơ pháp lý" (Cá nhân, 31358001, Q11) mở menu Thao tác → Xử lý hồ sơ của hồ sơ Chờ xem xét, click nút Cập nhật để mở popup "Xác nhận cập nhật thông tin hồ sơ"
2. Nhấn phím Tab liên tục</t>
  </si>
  <si>
    <t>1. Tại màn hình "Danh sách hồ sơ pháp lý" (Cá nhân, 31358001, Q11) mở menu Thao tác → Xử lý hồ sơ của hồ sơ Chờ xem xét, click nút Cập nhật để mở popup "Xác nhận cập nhật thông tin hồ sơ"
2. Focus control cuối cùng
3. Nhấn Shift+Tab liên tục</t>
  </si>
  <si>
    <t>1. Tại màn hình "Danh sách hồ sơ pháp lý" (Cá nhân, 31358001, Q11) mở menu Thao tác → Xử lý hồ sơ của hồ sơ Chờ xem xét, click nút Cập nhật để mở popup "Xác nhận cập nhật thông tin hồ sơ"
2. Focus control
3. Nhấn phím Enter</t>
  </si>
  <si>
    <t>1. Tại màn hình "Danh sách hồ sơ pháp lý" (Cá nhân, 31358001, Q11) mở menu Thao tác → Xử lý hồ sơ của hồ sơ Chờ xem xét, click nút Cập nhật để mở popup "Xác nhận cập nhật thông tin hồ sơ"
2. Nhấn Ctrl+− / Ctrl+= để đổi mức zoom</t>
  </si>
  <si>
    <t>1. Tại màn hình "Danh sách hồ sơ pháp lý" (Cá nhân, 31358001, Q11) mở menu Thao tác → Xử lý hồ sơ của hồ sơ Chờ xem xét, click nút Cập nhật để mở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</si>
  <si>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Quan sát ô Lý do</t>
  </si>
  <si>
    <t>1. Tại màn hình "Danh sách hồ sơ pháp lý" (Cá nhân, 31358001, Q11) mở menu Thao tác → Xử lý hồ sơ của hồ sơ Chờ xem xét, click nút Cập nhật để mở popup "Xác nhận cập nhật thông tin hồ sơ"
2.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</si>
  <si>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Nhập: 999 ký tự
3.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</si>
  <si>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Nhập: 1000 ký tự
3.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</si>
  <si>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Nhập: 1001 ký tự
3.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</si>
  <si>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Nhập: Toàn khoảng trắng '     '
3.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</si>
  <si>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Nhập: '   Hồ sơ hợp lệ   ' (khoảng trắng đầu cuối)
3.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</si>
  <si>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Nhập: 'Hồ sơ hợp lệ' (khoảng trắng giữa)
3.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</si>
  <si>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Nhập: 'Hồ  sơ    hợp lệ' (nhiều khoảng trắng giữa)
3.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</si>
  <si>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Nhập: Chữ in hoa 'HO SO HOP LE'
3.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</si>
  <si>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Nhập: Chữ in thường 'ho so hop le'
3.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</si>
  <si>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Nhập: Ký tự số '1234567890'
3.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</si>
  <si>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Nhập: Ký tự đặc biệt '!@#$%^&amp;*()_+-=[]{};:,./?'
3.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</si>
  <si>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Nhập: Hỗn hợp 'Hồ sơ HSPL-01 đã đối chiếu 100%'
3.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</si>
  <si>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Nhập: Tiếng Việt có dấu 'Thông tin pháp lý đã được xác minh với đơn vị'
3.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</si>
  <si>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Nhập: '&lt;script&gt;alert(1)&lt;/script&gt;'
3.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</si>
  <si>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Nhập: "' OR '1'='1'; DROP TABLE X;--"
3.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</si>
  <si>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Nhập: 'https://example.com/a?b=1'
3.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</si>
  <si>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Nhập: '&lt;img src=x onerror=alert(1)&gt;' (CSRF/HTML)
3.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</si>
  <si>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Copy chuỗi: 999 ký tự
3. Ctrl+V vào ô Lý do
4.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</si>
  <si>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Copy chuỗi: 1000 ký tự
3. Ctrl+V vào ô Lý do
4.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</si>
  <si>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Copy chuỗi: 1001 ký tự
3. Ctrl+V vào ô Lý do
4.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</si>
  <si>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Copy chuỗi: Toàn khoảng trắng
3. Ctrl+V vào ô Lý do
4.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</si>
  <si>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Copy chuỗi: Khoảng trắng đầu cuối
3. Ctrl+V vào ô Lý do
4.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</si>
  <si>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Copy chuỗi: Khoảng trắng giữa
3. Ctrl+V vào ô Lý do
4.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</si>
  <si>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Copy chuỗi: Nhiều khoảng trắng giữa
3. Ctrl+V vào ô Lý do
4.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</si>
  <si>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Copy chuỗi: Chữ in hoa
3. Ctrl+V vào ô Lý do
4.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</si>
  <si>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Copy chuỗi: Chữ in thường
3. Ctrl+V vào ô Lý do
4.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</si>
  <si>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Copy chuỗi: Ký tự số
3. Ctrl+V vào ô Lý do
4.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</si>
  <si>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Copy chuỗi: Ký tự đặc biệt
3. Ctrl+V vào ô Lý do
4.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</si>
  <si>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Copy chuỗi: Hỗn hợp chữ, số, ký tự đặc biệt
3. Ctrl+V vào ô Lý do
4.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</si>
  <si>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Copy chuỗi: Tiếng Việt có dấu
3. Ctrl+V vào ô Lý do
4.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</si>
  <si>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Copy chuỗi: '&lt;script&gt;alert(1)&lt;/script&gt;'
3. Ctrl+V vào ô Lý do
4.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</si>
  <si>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Copy chuỗi: Chuỗi SQL injection
3. Ctrl+V vào ô Lý do
4.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</si>
  <si>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Copy chuỗi: URL
3. Ctrl+V vào ô Lý do
4.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</si>
  <si>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Copy chuỗi: Thẻ HTML có sự kiện (CSRF)
3. Ctrl+V vào ô Lý do
4.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</si>
  <si>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Nhập 'Dòng 1', nhấn Enter, nhập 'Dòng 2'
3. Click nút Cập nhật trên popup "Xác nhận cập nhật thông tin hồ sơ"</t>
  </si>
  <si>
    <t>1. Tại màn hình "Danh sách hồ sơ pháp lý" (Cá nhân, 31358001, Q11) mở menu Thao tác → Xử lý hồ sơ của hồ sơ Chờ xem xét, click nút Cập nhật để mở popup "Xác nhận cập nhật thông tin hồ sơ"
2. Nhập 15 ký tự
3. Xóa 5 ký tự</t>
  </si>
  <si>
    <t>1. Tại màn hình "Danh sách hồ sơ pháp lý" (Cá nhân, 31358001, Q11) mở menu Thao tác → Xử lý hồ sơ của hồ sơ Chờ xem xét, click nút Cập nhật để mở popup "Xác nhận cập nhật thông tin hồ sơ"
2. Nhập lần lượt 20 dòng</t>
  </si>
  <si>
    <t>1. Tại màn hình "Danh sách hồ sơ pháp lý" (Cá nhân, 31358001, Q11) mở menu Thao tác → Xử lý hồ sơ của hồ sơ Chờ xem xét, click nút Cập nhật để mở popup "Xác nhận cập nhật thông tin hồ sơ"
2. Quan sát nút Cập nhật</t>
  </si>
  <si>
    <t>1. Tại màn hình "Danh sách hồ sơ pháp lý" (Cá nhân, 31358001, Q11) mở menu Thao tác → Xử lý hồ sơ của hồ sơ Chờ xem xét, click nút Cập nhật để mở popup "Xác nhận cập nhật thông tin hồ sơ"
2. Quan sát nút Cập nhật khi Lý do trống và khi đã nhập</t>
  </si>
  <si>
    <t>1. Tại màn hình "Danh sách hồ sơ pháp lý" (Cá nhân, 31358001, Q11) mở menu Thao tác → Xử lý hồ sơ của hồ sơ Chờ xem xét, click nút Cập nhật để mở popup "Xác nhận cập nhật thông tin hồ sơ"
2. Nhập Lý do hợp lệ
3. Click nút Cập nhật</t>
  </si>
  <si>
    <t>1. Tại màn hình "Danh sách hồ sơ pháp lý" (Cá nhân, 31358001, Q11) mở menu Thao tác → Xử lý hồ sơ của hồ sơ Chờ xem xét, click nút Cập nhật để mở popup "Xác nhận cập nhật thông tin hồ sơ"
2. Quan sát nút Hủy</t>
  </si>
  <si>
    <t>1. Tại màn hình "Danh sách hồ sơ pháp lý" (Cá nhân, 31358001, Q11) mở menu Thao tác → Xử lý hồ sơ của hồ sơ Chờ xem xét, click nút Cập nhật để mở popup "Xác nhận cập nhật thông tin hồ sơ"
2. Nhập Lý do
3. Click Hủy
4. Mở lại popup</t>
  </si>
  <si>
    <t>1. Tại màn hình "Danh sách hồ sơ pháp lý" (Cá nhân, 31358001, Q11) mở menu Thao tác → Xử lý hồ sơ của hồ sơ Chờ xem xét, click nút Cập nhật để mở popup "Xác nhận cập nhật thông tin hồ sơ"
2. Quan sát góc trên bên phải popup</t>
  </si>
  <si>
    <t>1. Tại màn hình "Danh sách hồ sơ pháp lý" (Cá nhân, 31358001, Q11) mở menu Thao tác → Xử lý hồ sơ của hồ sơ Chờ xem xét, click nút Cập nhật để mở popup "Xác nhận cập nhật thông tin hồ sơ"
2. Nhập Lý do
3. Click icon X</t>
  </si>
  <si>
    <t>1. Tại màn hình "Danh sách hồ sơ pháp lý" (Cá nhân, 31358001, Q11) mở menu Thao tác → Xử lý hồ sơ của hồ sơ Chờ xem xét, click nút Từ chối để mở popup "Xác nhận từ chối cập nhật thông tin hồ sơ"
2. Quan sát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</si>
  <si>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Quan sát toàn bộ label, control, button</t>
  </si>
  <si>
    <t>1. Tại màn hình "Danh sách hồ sơ pháp lý" (Cá nhân, 31358001, Q11) mở menu Thao tác → Xử lý hồ sơ của hồ sơ Chờ xem xét, click nút Từ chối để mở popup "Xác nhận từ chối cập nhật thông tin hồ sơ"
2. Nhấn phím Tab liên tục</t>
  </si>
  <si>
    <t>1. Tại màn hình "Danh sách hồ sơ pháp lý" (Cá nhân, 31358001, Q11) mở menu Thao tác → Xử lý hồ sơ của hồ sơ Chờ xem xét, click nút Từ chối để mở popup "Xác nhận từ chối cập nhật thông tin hồ sơ"
2. Focus control cuối cùng
3. Nhấn Shift+Tab liên tục</t>
  </si>
  <si>
    <t>1. Tại màn hình "Danh sách hồ sơ pháp lý" (Cá nhân, 31358001, Q11) mở menu Thao tác → Xử lý hồ sơ của hồ sơ Chờ xem xét, click nút Từ chối để mở popup "Xác nhận từ chối cập nhật thông tin hồ sơ"
2. Focus control
3. Nhấn phím Enter</t>
  </si>
  <si>
    <t>1. Tại màn hình "Danh sách hồ sơ pháp lý" (Cá nhân, 31358001, Q11) mở menu Thao tác → Xử lý hồ sơ của hồ sơ Chờ xem xét, click nút Từ chối để mở popup "Xác nhận từ chối cập nhật thông tin hồ sơ"
2. Nhấn Ctrl+− / Ctrl+= để đổi mức zoom</t>
  </si>
  <si>
    <t>1. Tại màn hình "Danh sách hồ sơ pháp lý" (Cá nhân, 31358001, Q11) mở menu Thao tác → Xử lý hồ sơ của hồ sơ Chờ xem xét, click nút Từ chối để mở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</si>
  <si>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Quan sát ô Lý do</t>
  </si>
  <si>
    <t>1. Tại màn hình "Danh sách hồ sơ pháp lý" (Cá nhân, 31358001, Q11) mở menu Thao tác → Xử lý hồ sơ của hồ sơ Chờ xem xét, click nút Từ chối để mở popup "Xác nhận từ chối cập nhật thông tin hồ sơ"
2.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</si>
  <si>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Nhập: 999 ký tự
3.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</si>
  <si>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Nhập: 1000 ký tự
3.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</si>
  <si>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Nhập: 1001 ký tự
3.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</si>
  <si>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Nhập: Toàn khoảng trắng '     '
3.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</si>
  <si>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Nhập: '   Hồ sơ hợp lệ   ' (khoảng trắng đầu cuối)
3.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</si>
  <si>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Nhập: 'Hồ sơ hợp lệ' (khoảng trắng giữa)
3.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</si>
  <si>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Nhập: 'Hồ  sơ    hợp lệ' (nhiều khoảng trắng giữa)
3.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</si>
  <si>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Nhập: Chữ in hoa 'HO SO HOP LE'
3.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</si>
  <si>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Nhập: Chữ in thường 'ho so hop le'
3.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</si>
  <si>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Nhập: Ký tự số '1234567890'
3.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</si>
  <si>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Nhập: Ký tự đặc biệt '!@#$%^&amp;*()_+-=[]{};:,./?'
3.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</si>
  <si>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Nhập: Hỗn hợp 'Hồ sơ HSPL-01 đã đối chiếu 100%'
3.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</si>
  <si>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Nhập: Tiếng Việt có dấu 'Thông tin pháp lý đã được xác minh với đơn vị'
3.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</si>
  <si>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Nhập: '&lt;script&gt;alert(1)&lt;/script&gt;'
3.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</si>
  <si>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Nhập: "' OR '1'='1'; DROP TABLE X;--"
3.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</si>
  <si>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Nhập: 'https://example.com/a?b=1'
3.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</si>
  <si>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Nhập: '&lt;img src=x onerror=alert(1)&gt;' (CSRF/HTML)
3.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</si>
  <si>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Copy chuỗi: 999 ký tự
3. Ctrl+V vào ô Lý do
4.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</si>
  <si>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Copy chuỗi: 1000 ký tự
3. Ctrl+V vào ô Lý do
4.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</si>
  <si>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Copy chuỗi: 1001 ký tự
3. Ctrl+V vào ô Lý do
4.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</si>
  <si>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Copy chuỗi: Toàn khoảng trắng
3. Ctrl+V vào ô Lý do
4.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</si>
  <si>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Copy chuỗi: Khoảng trắng đầu cuối
3. Ctrl+V vào ô Lý do
4.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</si>
  <si>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Copy chuỗi: Khoảng trắng giữa
3. Ctrl+V vào ô Lý do
4.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</si>
  <si>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Copy chuỗi: Nhiều khoảng trắng giữa
3. Ctrl+V vào ô Lý do
4.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</si>
  <si>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Copy chuỗi: Chữ in hoa
3. Ctrl+V vào ô Lý do
4.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</si>
  <si>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Copy chuỗi: Chữ in thường
3. Ctrl+V vào ô Lý do
4.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</si>
  <si>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Copy chuỗi: Ký tự số
3. Ctrl+V vào ô Lý do
4.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</si>
  <si>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Copy chuỗi: Ký tự đặc biệt
3. Ctrl+V vào ô Lý do
4.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</si>
  <si>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Copy chuỗi: Hỗn hợp chữ, số, ký tự đặc biệt
3. Ctrl+V vào ô Lý do
4.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</si>
  <si>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Copy chuỗi: Tiếng Việt có dấu
3. Ctrl+V vào ô Lý do
4.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</si>
  <si>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Copy chuỗi: '&lt;script&gt;alert(1)&lt;/script&gt;'
3. Ctrl+V vào ô Lý do
4.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</si>
  <si>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Copy chuỗi: Chuỗi SQL injection
3. Ctrl+V vào ô Lý do
4.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</si>
  <si>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Copy chuỗi: URL
3. Ctrl+V vào ô Lý do
4.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</si>
  <si>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Copy chuỗi: Thẻ HTML có sự kiện (CSRF)
3. Ctrl+V vào ô Lý do
4.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</si>
  <si>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Nhập 'Dòng 1', nhấn Enter, nhập 'Dòng 2'
3. Click nút Từ chối trên popup "Xác nhận từ chối cập nhật thông tin hồ sơ"</t>
  </si>
  <si>
    <t>1. Tại màn hình "Danh sách hồ sơ pháp lý" (Cá nhân, 31358001, Q11) mở menu Thao tác → Xử lý hồ sơ của hồ sơ Chờ xem xét, click nút Từ chối để mở popup "Xác nhận từ chối cập nhật thông tin hồ sơ"
2. Nhập 15 ký tự
3. Xóa 5 ký tự</t>
  </si>
  <si>
    <t>1. Tại màn hình "Danh sách hồ sơ pháp lý" (Cá nhân, 31358001, Q11) mở menu Thao tác → Xử lý hồ sơ của hồ sơ Chờ xem xét, click nút Từ chối để mở popup "Xác nhận từ chối cập nhật thông tin hồ sơ"
2. Nhập lần lượt 20 dòng</t>
  </si>
  <si>
    <t>1. Tại màn hình "Danh sách hồ sơ pháp lý" (Cá nhân, 31358001, Q11) mở menu Thao tác → Xử lý hồ sơ của hồ sơ Chờ xem xét, click nút Từ chối để mở popup "Xác nhận từ chối cập nhật thông tin hồ sơ"
2. Quan sát nút Từ chối</t>
  </si>
  <si>
    <t>1. Tại màn hình "Danh sách hồ sơ pháp lý" (Cá nhân, 31358001, Q11) mở menu Thao tác → Xử lý hồ sơ của hồ sơ Chờ xem xét, click nút Từ chối để mở popup "Xác nhận từ chối cập nhật thông tin hồ sơ"
2. Quan sát nút Từ chối khi Lý do trống và khi đã nhập</t>
  </si>
  <si>
    <t>1. Tại màn hình "Danh sách hồ sơ pháp lý" (Cá nhân, 31358001, Q11) mở menu Thao tác → Xử lý hồ sơ của hồ sơ Chờ xem xét, click nút Từ chối để mở popup "Xác nhận từ chối cập nhật thông tin hồ sơ"
2. Nhập Lý do hợp lệ
3. Click nút Từ chối</t>
  </si>
  <si>
    <t>1. Tại màn hình "Danh sách hồ sơ pháp lý" (Cá nhân, 31358001, Q11) mở menu Thao tác → Xử lý hồ sơ của hồ sơ Chờ xem xét, click nút Từ chối để mở popup "Xác nhận từ chối cập nhật thông tin hồ sơ"
2. Quan sát nút Hủy</t>
  </si>
  <si>
    <t>1. Tại màn hình "Danh sách hồ sơ pháp lý" (Cá nhân, 31358001, Q11) mở menu Thao tác → Xử lý hồ sơ của hồ sơ Chờ xem xét, click nút Từ chối để mở popup "Xác nhận từ chối cập nhật thông tin hồ sơ"
2. Nhập Lý do
3. Click Hủy
4. Mở lại popup</t>
  </si>
  <si>
    <t>1. Tại màn hình "Danh sách hồ sơ pháp lý" (Cá nhân, 31358001, Q11) mở menu Thao tác → Xử lý hồ sơ của hồ sơ Chờ xem xét, click nút Từ chối để mở popup "Xác nhận từ chối cập nhật thông tin hồ sơ"
2. Quan sát góc trên bên phải popup</t>
  </si>
  <si>
    <t>1. Tại màn hình "Danh sách hồ sơ pháp lý" (Cá nhân, 31358001, Q11) mở menu Thao tác → Xử lý hồ sơ của hồ sơ Chờ xem xét, click nút Từ chối để mở popup "Xác nhận từ chối cập nhật thông tin hồ sơ"
2. Nhập Lý do
3. Click icon X</t>
  </si>
  <si>
    <t>Hồ sơ Q11 Chờ xem xét</t>
  </si>
  <si>
    <t>Mở popup "Xử lý hồ sơ pháp lý tệp Q11" của đúng hồ sơ (Luồng chính bước 1)</t>
  </si>
  <si>
    <t>1. Tại màn hình "Danh sách hồ sơ pháp lý" (Cá nhân, 31358001, Q11) mở menu Thao tác → Xử lý hồ sơ của hồ sơ Chờ xem xét
2. Tắt công tắc</t>
  </si>
  <si>
    <t>Chỉ hiển thị TTC03, TTC04, CN001–CN012, CN014, CN016, CN017, CN022; không có KB (FEAT-05 AC#1)</t>
  </si>
  <si>
    <t>1. Tại màn hình "Danh sách hồ sơ pháp lý" (Tổ chức, 31358001, Q11) mở Xử lý hồ sơ của hồ sơ tổ chức Chờ xem xét
2. Tắt công tắc</t>
  </si>
  <si>
    <t>Chỉ hiển thị TTC03, TTC04, TC004–TC007, TC011–TC013, TC015, TC017–TC022; không có chỉ tiêu dạng bảng (FEAT-05 AC#1)</t>
  </si>
  <si>
    <t>1. Tại màn hình "Danh sách hồ sơ pháp lý" (Cá nhân, 31358001, Q11) mở menu Thao tác → Xử lý hồ sơ của hồ sơ Chờ xem xét
2. Mở ô Ngày báo cáo</t>
  </si>
  <si>
    <t>1. Tại màn hình "Danh sách hồ sơ pháp lý" (Cá nhân, 31358001, Q11) mở menu Thao tác → Xử lý hồ sơ của hồ sơ Chờ xem xét
2. Chọn 30/06/2025</t>
  </si>
  <si>
    <t>1. Tại màn hình "Danh sách hồ sơ pháp lý" (Cá nhân, 31358001, Q11) mở menu Thao tác → Xử lý hồ sơ của hồ sơ Chờ xem xét
2. Hover CN009</t>
  </si>
  <si>
    <t>1. Tại màn hình "Danh sách hồ sơ pháp lý" (Cá nhân, 31358001, Q11) mở menu Thao tác → Xử lý hồ sơ của hồ sơ Chờ xem xét
2. Bật công tắc</t>
  </si>
  <si>
    <t>1. Tại màn hình "Danh sách hồ sơ pháp lý" (Cá nhân, 31358001, Q11) mở menu Thao tác → Xử lý hồ sơ của hồ sơ Chờ xem xét
2. Click Cập nhật
3. Nhập Lý do
4. Click Cập nhật trên popup "Xác nhận cập nhật thông tin hồ sơ"</t>
  </si>
  <si>
    <t>1. Tại màn hình "Danh sách hồ sơ pháp lý" (Cá nhân, 31358001, Q11) mở menu Thao tác → Xử lý hồ sơ của hồ sơ Chờ xem xét
2. Cập nhật thành công
3. Truy vấn kho TCTD theo Mã CIC</t>
  </si>
  <si>
    <t>1. Tại màn hình "Danh sách hồ sơ pháp lý" (Cá nhân, 31358001, Q11) mở menu Thao tác → Xử lý hồ sơ của hồ sơ Chờ xem xét
2. Ghi nhận giá trị cột CIC
3. Cập nhật thành công
4. Mở hồ sơ khác cùng KH</t>
  </si>
  <si>
    <t>1. Tại màn hình "Danh sách hồ sơ pháp lý" (Cá nhân, 31358001, Q11) mở menu Thao tác → Xử lý hồ sơ của hồ sơ Chờ xem xét
2. Cập nhật hồ sơ A thành công
3. Mở hồ sơ Chờ xem xét khác cùng KH</t>
  </si>
  <si>
    <t>1. Tại màn hình "Danh sách hồ sơ pháp lý" (Cá nhân, 31358001, Q11) mở menu Thao tác → Xử lý hồ sơ của hồ sơ Chờ xem xét
2. Cập nhật thành công
3. Xem chi tiết hồ sơ → tab Lịch sử</t>
  </si>
  <si>
    <t>1. Tại màn hình "Danh sách hồ sơ pháp lý" (Cá nhân, 31358001, Q11) mở menu Thao tác → Xử lý hồ sơ của hồ sơ Chờ xem xét
2. Cập nhật thành công</t>
  </si>
  <si>
    <t>1. Tại màn hình "Danh sách hồ sơ pháp lý" (Cá nhân, 31358001, Q11) mở menu Thao tác → Xử lý hồ sơ của hồ sơ Chờ xem xét
2. Cập nhật hồ sơ chờ cuối cùng của tệp</t>
  </si>
  <si>
    <t>1. Tại màn hình "Danh sách hồ sơ pháp lý" (Cá nhân, 31358001, Q11) mở menu Thao tác → Xử lý hồ sơ của hồ sơ Chờ xem xét
2. Cập nhật 1 hồ sơ</t>
  </si>
  <si>
    <t>1. Tại màn hình "Danh sách hồ sơ pháp lý" (Cá nhân, 31358001, Q11) mở menu Thao tác → Xử lý hồ sơ của hồ sơ Chờ xem xét
2. Cập nhật hồ sơ chờ cuối cùng</t>
  </si>
  <si>
    <t>1. Tại màn hình "Danh sách hồ sơ pháp lý" (Cá nhân, 31358001, Q11) mở menu Thao tác → Xử lý hồ sơ của hồ sơ Chờ xem xét
2. Click Từ chối
3. Nhập Lý do
4. Click Từ chối trên popup "Xác nhận từ chối cập nhật thông tin hồ sơ"</t>
  </si>
  <si>
    <t>1. Tại màn hình "Danh sách hồ sơ pháp lý" (Cá nhân, 31358001, Q11) mở menu Thao tác → Xử lý hồ sơ của hồ sơ Chờ xem xét
2. Từ chối thành công
3. Truy vấn kho TCTD theo Mã CIC</t>
  </si>
  <si>
    <t>1. Tại màn hình "Danh sách hồ sơ pháp lý" (Cá nhân, 31358001, Q11) mở menu Thao tác → Xử lý hồ sơ của hồ sơ Chờ xem xét
2. Từ chối thành công
3. Xem tab Lịch sử</t>
  </si>
  <si>
    <t>1. Tại màn hình "Danh sách hồ sơ pháp lý" (Cá nhân, 31358001, Q11) mở menu Thao tác → Xử lý hồ sơ của hồ sơ Chờ xem xét
2. Từ chối hồ sơ đó</t>
  </si>
  <si>
    <t>1. Tại màn hình "Danh sách hồ sơ pháp lý" (Cá nhân, 31358001, Q11) mở menu Thao tác → Xử lý hồ sơ của hồ sơ Chờ xem xét
2. Click Cập nhật
3. Để trống Lý do
4. Click Cập nhật trên popup</t>
  </si>
  <si>
    <t>1. Tại màn hình "Danh sách hồ sơ pháp lý" (Cá nhân, 31358001, Q11) mở menu Thao tác → Xử lý hồ sơ của hồ sơ Chờ xem xét
2. Click Từ chối
3. Nhập Lý do
4. Click Hủy</t>
  </si>
  <si>
    <t>Hủy popup "Xử lý hồ sơ pháp lý tệp Q11"</t>
  </si>
  <si>
    <t>1. Tại màn hình "Danh sách hồ sơ pháp lý" (Cá nhân, 31358001, Q11) mở menu Thao tác → Xử lý hồ sơ của hồ sơ Chờ xem xét
2. Click Hủy</t>
  </si>
  <si>
    <t>1. cbxl01: Tại màn hình "Danh sách hồ sơ pháp lý" (Cá nhân, 31358001, Q11) mở menu Thao tác → Xử lý hồ sơ của hồ sơ Chờ xem xét
2. cbxl02 Cập nhật hồ sơ X thành công
3. cbxl01 click Từ chối, nhập Lý do, xác nhận</t>
  </si>
  <si>
    <t>Quản trị thu hồi quyền chức năng của cbxl01 khi đang mở popup "Xử lý hồ sơ pháp lý tệp Q11"</t>
  </si>
  <si>
    <t>1. Tại màn hình "Danh sách hồ sơ pháp lý" (Cá nhân, 31358001, Q11) mở menu Thao tác → Xử lý hồ sơ của hồ sơ Chờ xem xét
2. Thu hồi quyền
3. Click Cập nhật, nhập Lý do, xác nhận</t>
  </si>
  <si>
    <t>1. Tab 1 và Tab 2: Tại màn hình "Danh sách hồ sơ pháp lý" (Cá nhân, 31358001, Q11) mở menu Thao tác → Xử lý hồ sơ của hồ sơ Chờ xem xét, click Cập nhật, nhập Lý do
2. Tab 1: xác nhận Cập nhật → thành công
3. Tab 2: xác nhận Cập nhật</t>
  </si>
  <si>
    <t>1. Tab 1 và Tab 2: Tại màn hình "Danh sách hồ sơ pháp lý" (Cá nhân, 31358001, Q11) mở menu Thao tác → Xử lý hồ sơ của hồ sơ Chờ xem xét, click Từ chối, nhập Lý do
2. Tab 1: xác nhận Từ chối → thành công
3. Tab 2: xác nhận Từ chối</t>
  </si>
  <si>
    <t>1. cbxl01 và cbxl02: Tại màn hình "Danh sách hồ sơ pháp lý" (Cá nhân, 31358001, Q11) mở menu Thao tác → Xử lý hồ sơ của hồ sơ Chờ xem xét, click Từ chối, nhập Lý do
2. cbxl01 xác nhận → thành công
3. cbxl02 xác nhận</t>
  </si>
  <si>
    <t>1. Tại màn hình "Danh sách hồ sơ pháp lý" (Cá nhân, 31358001, Q11) mở menu Thao tác → Xử lý hồ sơ của hồ sơ Chờ xem xét
2. Click Cập nhật
3. Nhập Lý do hợp lệ
4. Click Cập nhật trên popup xác nhận</t>
  </si>
  <si>
    <t>1. Tại màn hình "Danh sách hồ sơ pháp lý" (Cá nhân, 31358001, Q11) mở menu Thao tác → Xử lý hồ sơ của hồ sơ Chờ xem xét
2. Click Cập nhật
3. Nhập Lý do hợp lệ
4. Chờ token hết hạn
5. Click Cập nhật trên popup xác nhận</t>
  </si>
  <si>
    <t>1. Tại màn hình "Danh sách hồ sơ pháp lý" (Cá nhân, 31358001, Q11) mở menu Thao tác → Xử lý hồ sơ của hồ sơ Chờ xem xét
2. Click Từ chối
3. Nhập Lý do hợp lệ
4. Click Từ chối trên popup xác nhận</t>
  </si>
  <si>
    <t>1. Tại màn hình "Danh sách hồ sơ pháp lý" (Cá nhân, 31358001, Q11) mở menu Thao tác → Xử lý hồ sơ của hồ sơ Chờ xem xét
2. Click Từ chối
3. Nhập Lý do hợp lệ
4. Chờ token hết hạn
5. Click Từ chối trên popup xác nhận</t>
  </si>
  <si>
    <t>Hiển thị màn hình "Xử lý đồng thời hồ sơ pháp lý" khi mở</t>
  </si>
  <si>
    <t>1. Tại màn hình "Danh sách hồ sơ pháp lý" (Cá nhân, 31358001, D11) tick 8 hồ sơ Chờ xem xét, click Xử lý hồ sơ trên dải thao tác
2. Quan sát màn hình "Xử lý đồng thời hồ sơ pháp lý"</t>
  </si>
  <si>
    <t>Màn hình "Xử lý đồng thời hồ sơ pháp lý" hiển thị:
- Vùng trái "Hồ sơ đã chọn (n)", dòng phụ "Tệp &lt;mã&gt; · Khách hàng &lt;loại&gt;", danh sách hồ sơ có ô chọn
- Thẻ hồ sơ đang xem xét: Tên KH, Mã khách hàng, Loại khách hàng, Đầu mối báo cáo, Ngày báo cáo, Trạng thái
- Thẻ Hồ sơ tại CIC: Mã CIC, Loại khách hàng, TCTD có liên quan
- Dòng "So sánh thông tin chỉ tiêu": tóm tắt số khác biệt, chú thích ★ / ô tô nền, công tắc "Chỉ hiện chỉ tiêu khác biệt" (bật)
- Bảng 3 cột giá trị: Hồ sơ đang xem xét / Hồ sơ khách hàng tại TCTD (ô chọn Ngày báo cáo) / Hồ sơ khách hàng tại CIC (nhãn C06)
- Nút Hủy, Từ chối (n), Cập nhật (n)</t>
  </si>
  <si>
    <t>1. Tại màn hình "Danh sách hồ sơ pháp lý" (Cá nhân, 31358001, D11) tick 8 hồ sơ Chờ xem xét, click Xử lý hồ sơ trên dải thao tác
2. Quan sát toàn bộ label, control, button</t>
  </si>
  <si>
    <t>1. Tại màn hình "Danh sách hồ sơ pháp lý" (Cá nhân, 31358001, D11) tick 8 hồ sơ Chờ xem xét, click Xử lý hồ sơ trên dải thao tác
2. Nhấn phím Tab liên tục</t>
  </si>
  <si>
    <t>Con trỏ di chuyển lần lượt: Danh sách hồ sơ đã chọn → công tắc → ô chọn Ngày báo cáo → bảng → Hủy → Từ chối → Cập nhật</t>
  </si>
  <si>
    <t>1. Tại màn hình "Danh sách hồ sơ pháp lý" (Cá nhân, 31358001, D11) tick 8 hồ sơ Chờ xem xét, click Xử lý hồ sơ trên dải thao tác
2. Focus control cuối cùng
3. Nhấn Shift+Tab liên tục</t>
  </si>
  <si>
    <t>1. Tại màn hình "Danh sách hồ sơ pháp lý" (Cá nhân, 31358001, D11) tick 8 hồ sơ Chờ xem xét, click Xử lý hồ sơ trên dải thao tác
2. Focus control
3. Nhấn phím Enter</t>
  </si>
  <si>
    <t>1. Tại màn hình "Danh sách hồ sơ pháp lý" (Cá nhân, 31358001, D11) tick 8 hồ sơ Chờ xem xét, click Xử lý hồ sơ trên dải thao tác
2. Nhấn Ctrl+− / Ctrl+= để đổi mức zoom</t>
  </si>
  <si>
    <t>1. Tại màn hình "Danh sách hồ sơ pháp lý" (Cá nhân, 31358001, D11) tick 8 hồ sơ Chờ xem xét, click Xử lý hồ sơ trên dải thao tác
2. Rà các nhãn, giá trị có từ viết tắt</t>
  </si>
  <si>
    <t>1. Tại màn hình "Danh sách hồ sơ pháp lý" (Cá nhân, 31358001, D11) tick 8 hồ sơ Chờ xem xét, click Xử lý hồ sơ trên dải thao tác
2. Quan sát các button: Hủy, Từ chối (n), Cập nhật (n)</t>
  </si>
  <si>
    <t>1. Tại màn hình "Danh sách hồ sơ pháp lý" (Cá nhân, 31358001, D11) tick 8 hồ sơ Chờ xem xét, click Xử lý hồ sơ trên dải thao tác
2. Quan sát trạng thái các button</t>
  </si>
  <si>
    <t>Hiển thị đúng trạng thái theo điều kiện SRS; chỉ có duy nhất 1 Primary button (Cập nhật (n)) trong một khu vực</t>
  </si>
  <si>
    <t>1. Tại màn hình "Danh sách hồ sơ pháp lý" (Cá nhân, 31358001, D11) tick 8 hồ sơ Chờ xem xét, click Xử lý hồ sơ trên dải thao tác
2. Click lần lượt từng button</t>
  </si>
  <si>
    <t>1. Tại màn hình "Danh sách hồ sơ pháp lý" (Cá nhân, 31358001, D11) tick 8 hồ sơ Chờ xem xét, click Xử lý hồ sơ trên dải thao tác
2. Click button gọi API
3. Click tiếp nhiều lần khi đang xử lý</t>
  </si>
  <si>
    <t>1. Tại màn hình "Danh sách hồ sơ pháp lý" (Cá nhân, 31358001, D11) tick 8 hồ sơ Chờ xem xét, click Xử lý hồ sơ trên dải thao tác
2. Chọn điều kiện, Tìm kiếm
3. Nhấn F5 hoặc chuyển sang chức năng khác rồi quay lại</t>
  </si>
  <si>
    <t>Kiểm tra title Xử lý đồng thời hồ sơ pháp lý</t>
  </si>
  <si>
    <t>1. Tại màn hình "Danh sách hồ sơ pháp lý" (Cá nhân, 31358001, D11) tick 8 hồ sơ Chờ xem xét, click Xử lý hồ sơ trên dải thao tác
2. Kiểm tra hiển thị title</t>
  </si>
  <si>
    <t>Title cố định mặc định: "Xử lý đồng thời hồ sơ pháp lý"</t>
  </si>
  <si>
    <t>1. Tại màn hình "Danh sách hồ sơ pháp lý" (Cá nhân, 31358001, D11) tick 8 hồ sơ Chờ xem xét, click Xử lý hồ sơ trên dải thao tác
2. Click / thử nhập vào title</t>
  </si>
  <si>
    <t>Kiểm tra danh sách hồ sơ đã chọn</t>
  </si>
  <si>
    <t>Kiểm tra tiêu đề và dòng phụ</t>
  </si>
  <si>
    <t>Tiêu đề vùng danh sách</t>
  </si>
  <si>
    <t>8 hồ sơ D11 cá nhân</t>
  </si>
  <si>
    <t>1. Tại màn hình "Danh sách hồ sơ pháp lý" (Cá nhân, 31358001, D11) tick 8 hồ sơ Chờ xem xét, click Xử lý hồ sơ trên dải thao tác</t>
  </si>
  <si>
    <t>Tiêu đề "Hồ sơ đã chọn (8)", dòng phụ "Tệp D11 · Khách hàng cá nhân" (assumption Q34)</t>
  </si>
  <si>
    <t>Kiểm tra nội dung mỗi hồ sơ</t>
  </si>
  <si>
    <t>Thông tin trên từng dòng</t>
  </si>
  <si>
    <t>Mỗi hồ sơ: ô chọn, Tên khách hàng, "Mã KH ... · Đầu mối ...", "Mã CIC ...", chip mã chỉ tiêu khác biệt (★ trước chỉ tiêu quan trọng) — BR-042</t>
  </si>
  <si>
    <t>Kiểm tra thứ tự hồ sơ</t>
  </si>
  <si>
    <t>Thứ tự trong danh sách</t>
  </si>
  <si>
    <t>Chọn dòng 7 rồi dòng 3 trên màn hình "Danh sách hồ sơ pháp lý"</t>
  </si>
  <si>
    <t>Thứ tự theo thứ tự trên màn hình "Danh sách hồ sơ pháp lý" (dòng 3 trước dòng 7) — assumption Q34</t>
  </si>
  <si>
    <t>Kiểm tra hồ sơ đang xem mặc định</t>
  </si>
  <si>
    <t>Hồ sơ được xem khi mở trang</t>
  </si>
  <si>
    <t>Hồ sơ đầu tiên được highlight và hiển thị ở vùng so sánh (BR-042, AC#1)</t>
  </si>
  <si>
    <t>Kiểm tra cuộn danh sách</t>
  </si>
  <si>
    <t>Danh sách nhiều hồ sơ</t>
  </si>
  <si>
    <t>20 hồ sơ</t>
  </si>
  <si>
    <t>1. Tại màn hình "Danh sách hồ sơ pháp lý" (Cá nhân, 31358001, D11) tick 8 hồ sơ Chờ xem xét, click Xử lý hồ sơ trên dải thao tác
2. Cuộn vùng danh sách</t>
  </si>
  <si>
    <t>Danh sách cuộn dọc độc lập với vùng so sánh, footer nút không bị che (CMP-042)</t>
  </si>
  <si>
    <t>Kiểm tra chuyển hồ sơ đang xem</t>
  </si>
  <si>
    <t>Click một hồ sơ khác</t>
  </si>
  <si>
    <t>1. Tại màn hình "Danh sách hồ sơ pháp lý" (Cá nhân, 31358001, D11) tick 8 hồ sơ Chờ xem xét, click Xử lý hồ sơ trên dải thao tác
2. Click hồ sơ thứ 3</t>
  </si>
  <si>
    <t>Hồ sơ 3 được highlight; vùng so sánh chuyển sang hồ sơ 3 (thẻ, tóm tắt, bảng) — BR-042</t>
  </si>
  <si>
    <t>Kiểm tra Checkbox Chọn hồ sơ</t>
  </si>
  <si>
    <t>Hiển thị checkbox Chọn hồ sơ</t>
  </si>
  <si>
    <t>1. Tại màn hình "Danh sách hồ sơ pháp lý" (Cá nhân, 31358001, D11) tick 8 hồ sơ Chờ xem xét, click Xử lý hồ sơ trên dải thao tác
2. Quan sát checkbox Chọn hồ sơ</t>
  </si>
  <si>
    <t>Mọi hồ sơ trong danh sách đều được chọn (BR-042)</t>
  </si>
  <si>
    <t>1. Tại màn hình "Danh sách hồ sơ pháp lý" (Cá nhân, 31358001, D11) tick 8 hồ sơ Chờ xem xét, click Xử lý hồ sơ trên dải thao tác
2. Tick checkbox Chọn hồ sơ</t>
  </si>
  <si>
    <t>Hồ sơ hiển thị bình thường; số trên nút Từ chối (n), Cập nhật (n) tăng 1</t>
  </si>
  <si>
    <t>1. Tại màn hình "Danh sách hồ sơ pháp lý" (Cá nhân, 31358001, D11) tick 8 hồ sơ Chờ xem xét, click Xử lý hồ sơ trên dải thao tác
2. Tick rồi bỏ tick checkbox Chọn hồ sơ</t>
  </si>
  <si>
    <t>Hồ sơ hiển thị mờ, vẫn click xem được; số trên nút giảm 1 (BR-042, ALT-04)</t>
  </si>
  <si>
    <t>1. Tại màn hình "Danh sách hồ sơ pháp lý" (Cá nhân, 31358001, D11) tick 8 hồ sơ Chờ xem xét, click Xử lý hồ sơ trên dải thao tác
2. Focus checkbox Chọn hồ sơ bằng Tab
3. Nhấn Space</t>
  </si>
  <si>
    <t>Kiểm tra bỏ chọn tất cả hồ sơ</t>
  </si>
  <si>
    <t>N = 0</t>
  </si>
  <si>
    <t>Bỏ chọn cả 8 hồ sơ</t>
  </si>
  <si>
    <t>1. Tại màn hình "Danh sách hồ sơ pháp lý" (Cá nhân, 31358001, D11) tick 8 hồ sơ Chờ xem xét, click Xử lý hồ sơ trên dải thao tác
2. Bỏ tick lần lượt 8 hồ sơ</t>
  </si>
  <si>
    <t>Nút Từ chối (0), Cập nhật (0) bị khóa (BR-042)</t>
  </si>
  <si>
    <t>1. Tại màn hình "Danh sách hồ sơ pháp lý" (Cá nhân, 31358001, D11) tick 8 hồ sơ Chờ xem xét, click Xử lý hồ sơ trên dải thao tác
2. Quan sát Tên khách hàng</t>
  </si>
  <si>
    <t>1. Tại màn hình "Danh sách hồ sơ pháp lý" (Cá nhân, 31358001, D11) tick 8 hồ sơ Chờ xem xét, click Xử lý hồ sơ trên dải thao tác
2. Quan sát Mã khách hàng</t>
  </si>
  <si>
    <t>1. Tại màn hình "Danh sách hồ sơ pháp lý" (Cá nhân, 31358001, D11) tick 8 hồ sơ Chờ xem xét, click Xử lý hồ sơ trên dải thao tác
2. Quan sát Loại khách hàng</t>
  </si>
  <si>
    <t>1. Tại màn hình "Danh sách hồ sơ pháp lý" (Cá nhân, 31358001, D11) tick 8 hồ sơ Chờ xem xét, click Xử lý hồ sơ trên dải thao tác
2. Quan sát Đầu mối báo cáo</t>
  </si>
  <si>
    <t>1. Tại màn hình "Danh sách hồ sơ pháp lý" (Cá nhân, 31358001, D11) tick 8 hồ sơ Chờ xem xét, click Xử lý hồ sơ trên dải thao tác
2. Quan sát Ngày báo cáo</t>
  </si>
  <si>
    <t>1. Tại màn hình "Danh sách hồ sơ pháp lý" (Cá nhân, 31358001, D11) tick 8 hồ sơ Chờ xem xét, click Xử lý hồ sơ trên dải thao tác
2. Quan sát Trạng thái</t>
  </si>
  <si>
    <t>1. Tại màn hình "Danh sách hồ sơ pháp lý" (Cá nhân, 31358001, D11) tick 8 hồ sơ Chờ xem xét, click Xử lý hồ sơ trên dải thao tác
2. Quan sát Mã CIC
3. Thử click / sửa Mã CIC</t>
  </si>
  <si>
    <t>Hiển thị Mã CIC của KH, không chọn được mã khác (mục 7 bảng thành phần của popup "Xử lý hồ sơ pháp lý tệp D10/D11", BR-043, assumption Q14)</t>
  </si>
  <si>
    <t>1. Tại màn hình "Danh sách hồ sơ pháp lý" (Cá nhân, 31358001, D11) tick 8 hồ sơ Chờ xem xét, click Xử lý hồ sơ trên dải thao tác
2. Hover mã 68202001</t>
  </si>
  <si>
    <t>1. Tại màn hình "Danh sách hồ sơ pháp lý" (Cá nhân, 31358001, D11) tick 8 hồ sơ Chờ xem xét, click Xử lý hồ sơ trên dải thao tác
2. Quan sát checkbox Chỉ hiện chỉ tiêu khác biệt (công tắc)</t>
  </si>
  <si>
    <t>Bật (mặc định ở màn xử lý đồng thời — BR-045)</t>
  </si>
  <si>
    <t>1. Tại màn hình "Danh sách hồ sơ pháp lý" (Cá nhân, 31358001, D11) tick 8 hồ sơ Chờ xem xét, click Xử lý hồ sơ trên dải thao tác
2. Tick checkbox Chỉ hiện chỉ tiêu khác biệt (công tắc)</t>
  </si>
  <si>
    <t>1. Tại màn hình "Danh sách hồ sơ pháp lý" (Cá nhân, 31358001, D11) tick 8 hồ sơ Chờ xem xét, click Xử lý hồ sơ trên dải thao tác
2. Tick rồi bỏ tick checkbox Chỉ hiện chỉ tiêu khác biệt (công tắc)</t>
  </si>
  <si>
    <t>1. Tại màn hình "Danh sách hồ sơ pháp lý" (Cá nhân, 31358001, D11) tick 8 hồ sơ Chờ xem xét, click Xử lý hồ sơ trên dải thao tác
2. Focus checkbox Chỉ hiện chỉ tiêu khác biệt (công tắc) bằng Tab
3. Nhấn Space</t>
  </si>
  <si>
    <t>1. Tại màn hình "Danh sách hồ sơ pháp lý" (Cá nhân, 31358001, D11) tick 8 hồ sơ Chờ xem xét, click Xử lý hồ sơ trên dải thao tác
2. Bật / tắt công tắc
3. Click tiếp công tắc nhiều lần khi đang xử lý</t>
  </si>
  <si>
    <t>1. Tại màn hình "Danh sách hồ sơ pháp lý" (Cá nhân, 31358001, D11) tick 8 hồ sơ Chờ xem xét, click Xử lý hồ sơ trên dải thao tác
2. Quan sát Dropdown Ngày báo cáo (cột Hồ sơ khách hàng tại TCTD)</t>
  </si>
  <si>
    <t>1. Tại màn hình "Danh sách hồ sơ pháp lý" (Cá nhân, 31358001, D11) tick 8 hồ sơ Chờ xem xét, click Xử lý hồ sơ trên dải thao tác
2. Quan sát giá trị Dropdown Ngày báo cáo (cột Hồ sơ khách hàng tại TCTD)</t>
  </si>
  <si>
    <t>1. Tại màn hình "Danh sách hồ sơ pháp lý" (Cá nhân, 31358001, D11) tick 8 hồ sơ Chờ xem xét, click Xử lý hồ sơ trên dải thao tác
2. Quan sát placeholder Dropdown Ngày báo cáo (cột Hồ sơ khách hàng tại TCTD)</t>
  </si>
  <si>
    <t>1. Tại màn hình "Danh sách hồ sơ pháp lý" (Cá nhân, 31358001, D11) tick 8 hồ sơ Chờ xem xét, click Xử lý hồ sơ trên dải thao tác
2. Quan sát nhãn / dấu (*) của Ngày báo cáo (cột Hồ sơ khách hàng tại TCTD)</t>
  </si>
  <si>
    <t>1. Tại màn hình "Danh sách hồ sơ pháp lý" (Cá nhân, 31358001, D11) tick 8 hồ sơ Chờ xem xét, click Xử lý hồ sơ trên dải thao tác
2. Click mở Dropdown Ngày báo cáo (cột Hồ sơ khách hàng tại TCTD)</t>
  </si>
  <si>
    <t>1. Tại màn hình "Danh sách hồ sơ pháp lý" (Cá nhân, 31358001, D11) tick 8 hồ sơ Chờ xem xét, click Xử lý hồ sơ trên dải thao tác, nhấn Tab/Shift+Tab focus vào Dropdown Ngày báo cáo (cột Hồ sơ khách hàng tại TCTD)
2. Nhấn phím Enter
3. Nhấn phím Up/Down
4. Nhấn phím Enter khi đang focus một giá trị
5. Nhấn Tab/Shift+Tab</t>
  </si>
  <si>
    <t>1. Tại màn hình "Danh sách hồ sơ pháp lý" (Cá nhân, 31358001, D11) tick 8 hồ sơ Chờ xem xét, click Xử lý hồ sơ trên dải thao tác
2. Mở Dropdown Ngày báo cáo (cột Hồ sơ khách hàng tại TCTD)</t>
  </si>
  <si>
    <t>1. Tại màn hình "Danh sách hồ sơ pháp lý" (Cá nhân, 31358001, D11) tick 8 hồ sơ Chờ xem xét, click Xử lý hồ sơ trên dải thao tác
2. Mở Dropdown Ngày báo cáo (cột Hồ sơ khách hàng tại TCTD)
3. Cuộn danh sách</t>
  </si>
  <si>
    <t>1. Tại màn hình "Danh sách hồ sơ pháp lý" (Cá nhân, 31358001, D11) tick 8 hồ sơ Chờ xem xét, click Xử lý hồ sơ trên dải thao tác
2. Mở Dropdown Ngày báo cáo (cột Hồ sơ khách hàng tại TCTD)
3. Click một option</t>
  </si>
  <si>
    <t>1. Tại màn hình "Danh sách hồ sơ pháp lý" (Cá nhân, 31358001, D11) tick 8 hồ sơ Chờ xem xét, click Xử lý hồ sơ trên dải thao tác
2. Chọn option thứ nhất
3. Mở lại và chọn option thứ hai</t>
  </si>
  <si>
    <t>1. Tại màn hình "Danh sách hồ sơ pháp lý" (Cá nhân, 31358001, D11) tick 8 hồ sơ Chờ xem xét, click Xử lý hồ sơ trên dải thao tác
2. Chọn một option
3. Thực hiện bỏ chọn (icon x / phím Delete)</t>
  </si>
  <si>
    <t>1. Tại màn hình "Danh sách hồ sơ pháp lý" (Cá nhân, 31358001, D11) tick 8 hồ sơ Chờ xem xét, click Xử lý hồ sơ trên dải thao tác
2. Thử xóa giá trị của Dropdown Ngày báo cáo (cột Hồ sơ khách hàng tại TCTD)</t>
  </si>
  <si>
    <t>1. Tại màn hình "Danh sách hồ sơ pháp lý" (Cá nhân, 31358001, D11) tick 8 hồ sơ Chờ xem xét, click Xử lý hồ sơ trên dải thao tác
2. Quan sát cột Chỉ tiêu</t>
  </si>
  <si>
    <t>1. Tại màn hình "Danh sách hồ sơ pháp lý" (Cá nhân, 31358001, D11) tick 8 hồ sơ Chờ xem xét, click Xử lý hồ sơ trên dải thao tác
2. Double-click / nhấn F2 vào ô của cột Chỉ tiêu</t>
  </si>
  <si>
    <t>1. Tại màn hình "Danh sách hồ sơ pháp lý" (Cá nhân, 31358001, D11) tick 8 hồ sơ Chờ xem xét, click Xử lý hồ sơ trên dải thao tác
2. Quan sát header cột Chỉ tiêu</t>
  </si>
  <si>
    <t>1. Tại màn hình "Danh sách hồ sơ pháp lý" (Cá nhân, 31358001, D11) tick 8 hồ sơ Chờ xem xét, click Xử lý hồ sơ trên dải thao tác
2. Quan sát cột Hồ sơ đang xem xét</t>
  </si>
  <si>
    <t>1. Tại màn hình "Danh sách hồ sơ pháp lý" (Cá nhân, 31358001, D11) tick 8 hồ sơ Chờ xem xét, click Xử lý hồ sơ trên dải thao tác
2. Double-click / nhấn F2 vào ô của cột Hồ sơ đang xem xét</t>
  </si>
  <si>
    <t>1. Tại màn hình "Danh sách hồ sơ pháp lý" (Cá nhân, 31358001, D11) tick 8 hồ sơ Chờ xem xét, click Xử lý hồ sơ trên dải thao tác
2. Quan sát header cột Hồ sơ đang xem xét</t>
  </si>
  <si>
    <t>1. Tại màn hình "Danh sách hồ sơ pháp lý" (Cá nhân, 31358001, D11) tick 8 hồ sơ Chờ xem xét, click Xử lý hồ sơ trên dải thao tác
2. Quan sát cột Hồ sơ khách hàng tại TCTD</t>
  </si>
  <si>
    <t>1. Tại màn hình "Danh sách hồ sơ pháp lý" (Cá nhân, 31358001, D11) tick 8 hồ sơ Chờ xem xét, click Xử lý hồ sơ trên dải thao tác
2. Double-click / nhấn F2 vào ô của cột Hồ sơ khách hàng tại TCTD</t>
  </si>
  <si>
    <t>1. Tại màn hình "Danh sách hồ sơ pháp lý" (Cá nhân, 31358001, D11) tick 8 hồ sơ Chờ xem xét, click Xử lý hồ sơ trên dải thao tác
2. Quan sát header cột Hồ sơ khách hàng tại TCTD</t>
  </si>
  <si>
    <t>1. Tại màn hình "Danh sách hồ sơ pháp lý" (Cá nhân, 31358001, D11) tick 8 hồ sơ Chờ xem xét, click Xử lý hồ sơ trên dải thao tác
2. Quan sát cột Hồ sơ khách hàng tại CIC</t>
  </si>
  <si>
    <t>1. Tại màn hình "Danh sách hồ sơ pháp lý" (Cá nhân, 31358001, D11) tick 8 hồ sơ Chờ xem xét, click Xử lý hồ sơ trên dải thao tác
2. Double-click / nhấn F2 vào ô của cột Hồ sơ khách hàng tại CIC</t>
  </si>
  <si>
    <t>1. Tại màn hình "Danh sách hồ sơ pháp lý" (Cá nhân, 31358001, D11) tick 8 hồ sơ Chờ xem xét, click Xử lý hồ sơ trên dải thao tác
2. Quan sát header cột Hồ sơ khách hàng tại CIC</t>
  </si>
  <si>
    <t>1. Tại màn hình "Danh sách hồ sơ pháp lý" (Cá nhân, 31358001, D11) tick 8 hồ sơ Chờ xem xét, click Xử lý hồ sơ trên dải thao tác
2. Cuộn bảng xuống cuối</t>
  </si>
  <si>
    <t>1. Tại màn hình "Danh sách hồ sơ pháp lý" (Cá nhân, 31358001, D11) tick 8 hồ sơ Chờ xem xét, click Xử lý hồ sơ trên dải thao tác
2. Quan sát nút Hủy</t>
  </si>
  <si>
    <t>Nút "Hủy" ở chân màn hình "Xử lý đồng thời hồ sơ pháp lý"</t>
  </si>
  <si>
    <t>1. Tại màn hình "Danh sách hồ sơ pháp lý" (Cá nhân, 31358001, D11) tick 8 hồ sơ Chờ xem xét, click Xử lý hồ sơ trên dải thao tác
2. Quan sát trạng thái nút Hủy theo từng điều kiện</t>
  </si>
  <si>
    <t>1. Tại màn hình "Danh sách hồ sơ pháp lý" (Cá nhân, 31358001, D11) tick 8 hồ sơ Chờ xem xét, click Xử lý hồ sơ trên dải thao tác
2. Click nút Hủy</t>
  </si>
  <si>
    <t>Đóng màn xử lý, về màn hình "Danh sách hồ sơ pháp lý" giữ bộ lọc/trang; mọi hồ sơ vẫn Chờ xem xét (ALT-03, assumption Q33)</t>
  </si>
  <si>
    <t>Kiểm tra button Từ chối (n)</t>
  </si>
  <si>
    <t>Kiểm tra hiển thị nút Từ chối (n)</t>
  </si>
  <si>
    <t>1. Tại màn hình "Danh sách hồ sơ pháp lý" (Cá nhân, 31358001, D11) tick 8 hồ sơ Chờ xem xét, click Xử lý hồ sơ trên dải thao tác
2. Quan sát nút Từ chối (n)</t>
  </si>
  <si>
    <t>Nút "Từ chối (8)" ghi kèm số hồ sơ còn được chọn</t>
  </si>
  <si>
    <t>Kiểm tra trạng thái enable/disable của nút Từ chối (n)</t>
  </si>
  <si>
    <t>1. Tại màn hình "Danh sách hồ sơ pháp lý" (Cá nhân, 31358001, D11) tick 8 hồ sơ Chờ xem xét, click Xử lý hồ sơ trên dải thao tác
2. Quan sát trạng thái nút Từ chối (n) theo từng điều kiện</t>
  </si>
  <si>
    <t>Khóa khi không còn hồ sơ nào được chọn (BR-042)</t>
  </si>
  <si>
    <t>Kiểm tra click nút Từ chối (n)</t>
  </si>
  <si>
    <t>1. Tại màn hình "Danh sách hồ sơ pháp lý" (Cá nhân, 31358001, D11) tick 8 hồ sơ Chờ xem xét, click Xử lý hồ sơ trên dải thao tác
2. Click nút Từ chối (n)</t>
  </si>
  <si>
    <t>Kiểm tra button Cập nhật (n)</t>
  </si>
  <si>
    <t>Kiểm tra hiển thị nút Cập nhật (n)</t>
  </si>
  <si>
    <t>1. Tại màn hình "Danh sách hồ sơ pháp lý" (Cá nhân, 31358001, D11) tick 8 hồ sơ Chờ xem xét, click Xử lý hồ sơ trên dải thao tác
2. Quan sát nút Cập nhật (n)</t>
  </si>
  <si>
    <t>Nút "Cập nhật (8)" ghi kèm số hồ sơ còn được chọn, Primary</t>
  </si>
  <si>
    <t>Kiểm tra trạng thái enable/disable của nút Cập nhật (n)</t>
  </si>
  <si>
    <t>1. Tại màn hình "Danh sách hồ sơ pháp lý" (Cá nhân, 31358001, D11) tick 8 hồ sơ Chờ xem xét, click Xử lý hồ sơ trên dải thao tác
2. Quan sát trạng thái nút Cập nhật (n) theo từng điều kiện</t>
  </si>
  <si>
    <t>Kiểm tra click nút Cập nhật (n)</t>
  </si>
  <si>
    <t>1. Tại màn hình "Danh sách hồ sơ pháp lý" (Cá nhân, 31358001, D11) tick 8 hồ sơ Chờ xem xét, click Xử lý hồ sơ trên dải thao tác
2. Click nút Cập nhật (n)</t>
  </si>
  <si>
    <t>1. Tại màn hình "Danh sách hồ sơ pháp lý" (Cá nhân, 31358001, D11) tick 8 hồ sơ Chờ xem xét, click Xử lý hồ sơ trên dải thao tác, click nút Cập nhật (n) để mở popup "Xác nhận cập nhật thông tin hồ sơ"
2. Quan sát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</si>
  <si>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Quan sát toàn bộ label, control, button</t>
  </si>
  <si>
    <t>1. Tại màn hình "Danh sách hồ sơ pháp lý" (Cá nhân, 31358001, D11) tick 8 hồ sơ Chờ xem xét, click Xử lý hồ sơ trên dải thao tác, click nút Cập nhật (n) để mở popup "Xác nhận cập nhật thông tin hồ sơ"
2. Nhấn phím Tab liên tục</t>
  </si>
  <si>
    <t>1. Tại màn hình "Danh sách hồ sơ pháp lý" (Cá nhân, 31358001, D11) tick 8 hồ sơ Chờ xem xét, click Xử lý hồ sơ trên dải thao tác, click nút Cập nhật (n) để mở popup "Xác nhận cập nhật thông tin hồ sơ"
2. Focus control cuối cùng
3. Nhấn Shift+Tab liên tục</t>
  </si>
  <si>
    <t>1. Tại màn hình "Danh sách hồ sơ pháp lý" (Cá nhân, 31358001, D11) tick 8 hồ sơ Chờ xem xét, click Xử lý hồ sơ trên dải thao tác, click nút Cập nhật (n) để mở popup "Xác nhận cập nhật thông tin hồ sơ"
2. Focus control
3. Nhấn phím Enter</t>
  </si>
  <si>
    <t>1. Tại màn hình "Danh sách hồ sơ pháp lý" (Cá nhân, 31358001, D11) tick 8 hồ sơ Chờ xem xét, click Xử lý hồ sơ trên dải thao tác, click nút Cập nhật (n) để mở popup "Xác nhận cập nhật thông tin hồ sơ"
2. Nhấn Ctrl+− / Ctrl+= để đổi mức zoom</t>
  </si>
  <si>
    <t>1. Tại màn hình "Danh sách hồ sơ pháp lý" (Cá nhân, 31358001, D11) tick 8 hồ sơ Chờ xem xét, click Xử lý hồ sơ trên dải thao tác, click nút Cập nhật (n) để mở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</si>
  <si>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Quan sát ô Lý do</t>
  </si>
  <si>
    <t>1. Tại màn hình "Danh sách hồ sơ pháp lý" (Cá nhân, 31358001, D11) tick 8 hồ sơ Chờ xem xét, click Xử lý hồ sơ trên dải thao tác, click nút Cập nhật (n) để mở popup "Xác nhận cập nhật thông tin hồ sơ"
2.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</si>
  <si>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Nhập: 999 ký tự
3.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</si>
  <si>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Nhập: 1000 ký tự
3.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</si>
  <si>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Nhập: 1001 ký tự
3.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</si>
  <si>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Nhập: Toàn khoảng trắng '     '
3.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</si>
  <si>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Nhập: '   Hồ sơ hợp lệ   ' (khoảng trắng đầu cuối)
3.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</si>
  <si>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Nhập: 'Hồ sơ hợp lệ' (khoảng trắng giữa)
3.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</si>
  <si>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Nhập: 'Hồ  sơ    hợp lệ' (nhiều khoảng trắng giữa)
3.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</si>
  <si>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Nhập: Chữ in hoa 'HO SO HOP LE'
3.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</si>
  <si>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Nhập: Chữ in thường 'ho so hop le'
3.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</si>
  <si>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Nhập: Ký tự số '1234567890'
3.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</si>
  <si>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Nhập: Ký tự đặc biệt '!@#$%^&amp;*()_+-=[]{};:,./?'
3.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</si>
  <si>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Nhập: Hỗn hợp 'Hồ sơ HSPL-01 đã đối chiếu 100%'
3.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</si>
  <si>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Nhập: Tiếng Việt có dấu 'Thông tin pháp lý đã được xác minh với đơn vị'
3.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</si>
  <si>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Nhập: '&lt;script&gt;alert(1)&lt;/script&gt;'
3.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</si>
  <si>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Nhập: "' OR '1'='1'; DROP TABLE X;--"
3.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</si>
  <si>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Nhập: 'https://example.com/a?b=1'
3.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</si>
  <si>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Nhập: '&lt;img src=x onerror=alert(1)&gt;' (CSRF/HTML)
3.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</si>
  <si>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Copy chuỗi: 999 ký tự
3. Ctrl+V vào ô Lý do
4.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</si>
  <si>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Copy chuỗi: 1000 ký tự
3. Ctrl+V vào ô Lý do
4.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</si>
  <si>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Copy chuỗi: 1001 ký tự
3. Ctrl+V vào ô Lý do
4.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</si>
  <si>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Copy chuỗi: Toàn khoảng trắng
3. Ctrl+V vào ô Lý do
4.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</si>
  <si>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Copy chuỗi: Khoảng trắng đầu cuối
3. Ctrl+V vào ô Lý do
4.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</si>
  <si>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Copy chuỗi: Khoảng trắng giữa
3. Ctrl+V vào ô Lý do
4.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</si>
  <si>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Copy chuỗi: Nhiều khoảng trắng giữa
3. Ctrl+V vào ô Lý do
4.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</si>
  <si>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Copy chuỗi: Chữ in hoa
3. Ctrl+V vào ô Lý do
4.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</si>
  <si>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Copy chuỗi: Chữ in thường
3. Ctrl+V vào ô Lý do
4.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</si>
  <si>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Copy chuỗi: Ký tự số
3. Ctrl+V vào ô Lý do
4.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</si>
  <si>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Copy chuỗi: Ký tự đặc biệt
3. Ctrl+V vào ô Lý do
4.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</si>
  <si>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Copy chuỗi: Hỗn hợp chữ, số, ký tự đặc biệt
3. Ctrl+V vào ô Lý do
4.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</si>
  <si>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Copy chuỗi: Tiếng Việt có dấu
3. Ctrl+V vào ô Lý do
4.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</si>
  <si>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Copy chuỗi: '&lt;script&gt;alert(1)&lt;/script&gt;'
3. Ctrl+V vào ô Lý do
4.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</si>
  <si>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Copy chuỗi: Chuỗi SQL injection
3. Ctrl+V vào ô Lý do
4.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</si>
  <si>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Copy chuỗi: URL
3. Ctrl+V vào ô Lý do
4.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</si>
  <si>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Copy chuỗi: Thẻ HTML có sự kiện (CSRF)
3. Ctrl+V vào ô Lý do
4.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</si>
  <si>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Nhập 'Dòng 1', nhấn Enter, nhập 'Dòng 2'
3. Click nút Cập nhật trên popup "Xác nhận cập nhật thông tin hồ sơ"</t>
  </si>
  <si>
    <t>1. Tại màn hình "Danh sách hồ sơ pháp lý" (Cá nhân, 31358001, D11) tick 8 hồ sơ Chờ xem xét, click Xử lý hồ sơ trên dải thao tác, click nút Cập nhật (n) để mở popup "Xác nhận cập nhật thông tin hồ sơ"
2. Nhập 15 ký tự
3. Xóa 5 ký tự</t>
  </si>
  <si>
    <t>1. Tại màn hình "Danh sách hồ sơ pháp lý" (Cá nhân, 31358001, D11) tick 8 hồ sơ Chờ xem xét, click Xử lý hồ sơ trên dải thao tác, click nút Cập nhật (n) để mở popup "Xác nhận cập nhật thông tin hồ sơ"
2. Nhập lần lượt 20 dòng</t>
  </si>
  <si>
    <t>1. Tại màn hình "Danh sách hồ sơ pháp lý" (Cá nhân, 31358001, D11) tick 8 hồ sơ Chờ xem xét, click Xử lý hồ sơ trên dải thao tác, click nút Cập nhật (n) để mở popup "Xác nhận cập nhật thông tin hồ sơ"
2. Quan sát nút Cập nhật</t>
  </si>
  <si>
    <t>1. Tại màn hình "Danh sách hồ sơ pháp lý" (Cá nhân, 31358001, D11) tick 8 hồ sơ Chờ xem xét, click Xử lý hồ sơ trên dải thao tác, click nút Cập nhật (n) để mở popup "Xác nhận cập nhật thông tin hồ sơ"
2. Quan sát nút Cập nhật khi Lý do trống và khi đã nhập</t>
  </si>
  <si>
    <t>1. Tại màn hình "Danh sách hồ sơ pháp lý" (Cá nhân, 31358001, D11) tick 8 hồ sơ Chờ xem xét, click Xử lý hồ sơ trên dải thao tác, click nút Cập nhật (n) để mở popup "Xác nhận cập nhật thông tin hồ sơ"
2. Nhập Lý do hợp lệ
3. Click nút Cập nhật</t>
  </si>
  <si>
    <t>Popup và màn xử lý đóng; mọi hồ sơ còn được chọn chuyển Đã xử lý, lưu lý do, ghi thông tin pháp lý vào kho TCTD theo Mã CIC; toast SUC_001 "Cập nhật thông tin thành công."; quay về màn hình "Danh sách hồ sơ pháp lý" (BR-040, BR-044)</t>
  </si>
  <si>
    <t>1. Tại màn hình "Danh sách hồ sơ pháp lý" (Cá nhân, 31358001, D11) tick 8 hồ sơ Chờ xem xét, click Xử lý hồ sơ trên dải thao tác, click nút Cập nhật (n) để mở popup "Xác nhận cập nhật thông tin hồ sơ"
2. Quan sát nút Hủy</t>
  </si>
  <si>
    <t>1. Tại màn hình "Danh sách hồ sơ pháp lý" (Cá nhân, 31358001, D11) tick 8 hồ sơ Chờ xem xét, click Xử lý hồ sơ trên dải thao tác, click nút Cập nhật (n) để mở popup "Xác nhận cập nhật thông tin hồ sơ"
2. Nhập Lý do
3. Click Hủy
4. Mở lại popup</t>
  </si>
  <si>
    <t>1. Tại màn hình "Danh sách hồ sơ pháp lý" (Cá nhân, 31358001, D11) tick 8 hồ sơ Chờ xem xét, click Xử lý hồ sơ trên dải thao tác, click nút Cập nhật (n) để mở popup "Xác nhận cập nhật thông tin hồ sơ"
2. Quan sát góc trên bên phải popup</t>
  </si>
  <si>
    <t>1. Tại màn hình "Danh sách hồ sơ pháp lý" (Cá nhân, 31358001, D11) tick 8 hồ sơ Chờ xem xét, click Xử lý hồ sơ trên dải thao tác, click nút Cập nhật (n) để mở popup "Xác nhận cập nhật thông tin hồ sơ"
2. Nhập Lý do
3. Click icon X</t>
  </si>
  <si>
    <t>1. Tại màn hình "Danh sách hồ sơ pháp lý" (Cá nhân, 31358001, D11) tick 8 hồ sơ Chờ xem xét, click Xử lý hồ sơ trên dải thao tác, click nút Từ chối (n) để mở popup "Xác nhận từ chối cập nhật thông tin hồ sơ"
2. Quan sát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</si>
  <si>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Quan sát toàn bộ label, control, button</t>
  </si>
  <si>
    <t>1. Tại màn hình "Danh sách hồ sơ pháp lý" (Cá nhân, 31358001, D11) tick 8 hồ sơ Chờ xem xét, click Xử lý hồ sơ trên dải thao tác, click nút Từ chối (n) để mở popup "Xác nhận từ chối cập nhật thông tin hồ sơ"
2. Nhấn phím Tab liên tục</t>
  </si>
  <si>
    <t>1. Tại màn hình "Danh sách hồ sơ pháp lý" (Cá nhân, 31358001, D11) tick 8 hồ sơ Chờ xem xét, click Xử lý hồ sơ trên dải thao tác, click nút Từ chối (n) để mở popup "Xác nhận từ chối cập nhật thông tin hồ sơ"
2. Focus control cuối cùng
3. Nhấn Shift+Tab liên tục</t>
  </si>
  <si>
    <t>1. Tại màn hình "Danh sách hồ sơ pháp lý" (Cá nhân, 31358001, D11) tick 8 hồ sơ Chờ xem xét, click Xử lý hồ sơ trên dải thao tác, click nút Từ chối (n) để mở popup "Xác nhận từ chối cập nhật thông tin hồ sơ"
2. Focus control
3. Nhấn phím Enter</t>
  </si>
  <si>
    <t>1. Tại màn hình "Danh sách hồ sơ pháp lý" (Cá nhân, 31358001, D11) tick 8 hồ sơ Chờ xem xét, click Xử lý hồ sơ trên dải thao tác, click nút Từ chối (n) để mở popup "Xác nhận từ chối cập nhật thông tin hồ sơ"
2. Nhấn Ctrl+− / Ctrl+= để đổi mức zoom</t>
  </si>
  <si>
    <t>1. Tại màn hình "Danh sách hồ sơ pháp lý" (Cá nhân, 31358001, D11) tick 8 hồ sơ Chờ xem xét, click Xử lý hồ sơ trên dải thao tác, click nút Từ chối (n) để mở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</si>
  <si>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Quan sát ô Lý do</t>
  </si>
  <si>
    <t>1. Tại màn hình "Danh sách hồ sơ pháp lý" (Cá nhân, 31358001, D11) tick 8 hồ sơ Chờ xem xét, click Xử lý hồ sơ trên dải thao tác, click nút Từ chối (n) để mở popup "Xác nhận từ chối cập nhật thông tin hồ sơ"
2.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</si>
  <si>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Nhập: 999 ký tự
3.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</si>
  <si>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Nhập: 1000 ký tự
3.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</si>
  <si>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Nhập: 1001 ký tự
3.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</si>
  <si>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Nhập: Toàn khoảng trắng '     '
3.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</si>
  <si>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Nhập: '   Hồ sơ hợp lệ   ' (khoảng trắng đầu cuối)
3.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</si>
  <si>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Nhập: 'Hồ sơ hợp lệ' (khoảng trắng giữa)
3.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</si>
  <si>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Nhập: 'Hồ  sơ    hợp lệ' (nhiều khoảng trắng giữa)
3.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</si>
  <si>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Nhập: Chữ in hoa 'HO SO HOP LE'
3.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</si>
  <si>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Nhập: Chữ in thường 'ho so hop le'
3.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</si>
  <si>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Nhập: Ký tự số '1234567890'
3.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</si>
  <si>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Nhập: Ký tự đặc biệt '!@#$%^&amp;*()_+-=[]{};:,./?'
3.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</si>
  <si>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Nhập: Hỗn hợp 'Hồ sơ HSPL-01 đã đối chiếu 100%'
3.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</si>
  <si>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Nhập: Tiếng Việt có dấu 'Thông tin pháp lý đã được xác minh với đơn vị'
3.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</si>
  <si>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Nhập: '&lt;script&gt;alert(1)&lt;/script&gt;'
3.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</si>
  <si>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Nhập: "' OR '1'='1'; DROP TABLE X;--"
3.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</si>
  <si>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Nhập: 'https://example.com/a?b=1'
3.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</si>
  <si>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Nhập: '&lt;img src=x onerror=alert(1)&gt;' (CSRF/HTML)
3.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</si>
  <si>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Copy chuỗi: 999 ký tự
3. Ctrl+V vào ô Lý do
4.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</si>
  <si>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Copy chuỗi: 1000 ký tự
3. Ctrl+V vào ô Lý do
4.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</si>
  <si>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Copy chuỗi: 1001 ký tự
3. Ctrl+V vào ô Lý do
4.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</si>
  <si>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Copy chuỗi: Toàn khoảng trắng
3. Ctrl+V vào ô Lý do
4.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</si>
  <si>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Copy chuỗi: Khoảng trắng đầu cuối
3. Ctrl+V vào ô Lý do
4.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</si>
  <si>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Copy chuỗi: Khoảng trắng giữa
3. Ctrl+V vào ô Lý do
4.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</si>
  <si>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Copy chuỗi: Nhiều khoảng trắng giữa
3. Ctrl+V vào ô Lý do
4.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</si>
  <si>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Copy chuỗi: Chữ in hoa
3. Ctrl+V vào ô Lý do
4.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</si>
  <si>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Copy chuỗi: Chữ in thường
3. Ctrl+V vào ô Lý do
4.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</si>
  <si>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Copy chuỗi: Ký tự số
3. Ctrl+V vào ô Lý do
4.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</si>
  <si>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Copy chuỗi: Ký tự đặc biệt
3. Ctrl+V vào ô Lý do
4.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</si>
  <si>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Copy chuỗi: Hỗn hợp chữ, số, ký tự đặc biệt
3. Ctrl+V vào ô Lý do
4.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</si>
  <si>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Copy chuỗi: Tiếng Việt có dấu
3. Ctrl+V vào ô Lý do
4.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</si>
  <si>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Copy chuỗi: '&lt;script&gt;alert(1)&lt;/script&gt;'
3. Ctrl+V vào ô Lý do
4.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</si>
  <si>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Copy chuỗi: Chuỗi SQL injection
3. Ctrl+V vào ô Lý do
4.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</si>
  <si>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Copy chuỗi: URL
3. Ctrl+V vào ô Lý do
4.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</si>
  <si>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Copy chuỗi: Thẻ HTML có sự kiện (CSRF)
3. Ctrl+V vào ô Lý do
4.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</si>
  <si>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Nhập 'Dòng 1', nhấn Enter, nhập 'Dòng 2'
3. Click nút Từ chối trên popup "Xác nhận từ chối cập nhật thông tin hồ sơ"</t>
  </si>
  <si>
    <t>1. Tại màn hình "Danh sách hồ sơ pháp lý" (Cá nhân, 31358001, D11) tick 8 hồ sơ Chờ xem xét, click Xử lý hồ sơ trên dải thao tác, click nút Từ chối (n) để mở popup "Xác nhận từ chối cập nhật thông tin hồ sơ"
2. Nhập 15 ký tự
3. Xóa 5 ký tự</t>
  </si>
  <si>
    <t>1. Tại màn hình "Danh sách hồ sơ pháp lý" (Cá nhân, 31358001, D11) tick 8 hồ sơ Chờ xem xét, click Xử lý hồ sơ trên dải thao tác, click nút Từ chối (n) để mở popup "Xác nhận từ chối cập nhật thông tin hồ sơ"
2. Nhập lần lượt 20 dòng</t>
  </si>
  <si>
    <t>1. Tại màn hình "Danh sách hồ sơ pháp lý" (Cá nhân, 31358001, D11) tick 8 hồ sơ Chờ xem xét, click Xử lý hồ sơ trên dải thao tác, click nút Từ chối (n) để mở popup "Xác nhận từ chối cập nhật thông tin hồ sơ"
2. Quan sát nút Từ chối</t>
  </si>
  <si>
    <t>1. Tại màn hình "Danh sách hồ sơ pháp lý" (Cá nhân, 31358001, D11) tick 8 hồ sơ Chờ xem xét, click Xử lý hồ sơ trên dải thao tác, click nút Từ chối (n) để mở popup "Xác nhận từ chối cập nhật thông tin hồ sơ"
2. Quan sát nút Từ chối khi Lý do trống và khi đã nhập</t>
  </si>
  <si>
    <t>1. Tại màn hình "Danh sách hồ sơ pháp lý" (Cá nhân, 31358001, D11) tick 8 hồ sơ Chờ xem xét, click Xử lý hồ sơ trên dải thao tác, click nút Từ chối (n) để mở popup "Xác nhận từ chối cập nhật thông tin hồ sơ"
2. Nhập Lý do hợp lệ
3. Click nút Từ chối</t>
  </si>
  <si>
    <t>Popup và màn xử lý đóng; mọi hồ sơ còn được chọn chuyển Từ chối, lưu lý do, kho TCTD giữ nguyên; quay về màn hình "Danh sách hồ sơ pháp lý" (BR-041, BR-044)</t>
  </si>
  <si>
    <t>1. Tại màn hình "Danh sách hồ sơ pháp lý" (Cá nhân, 31358001, D11) tick 8 hồ sơ Chờ xem xét, click Xử lý hồ sơ trên dải thao tác, click nút Từ chối (n) để mở popup "Xác nhận từ chối cập nhật thông tin hồ sơ"
2. Quan sát nút Hủy</t>
  </si>
  <si>
    <t>1. Tại màn hình "Danh sách hồ sơ pháp lý" (Cá nhân, 31358001, D11) tick 8 hồ sơ Chờ xem xét, click Xử lý hồ sơ trên dải thao tác, click nút Từ chối (n) để mở popup "Xác nhận từ chối cập nhật thông tin hồ sơ"
2. Nhập Lý do
3. Click Hủy
4. Mở lại popup</t>
  </si>
  <si>
    <t>1. Tại màn hình "Danh sách hồ sơ pháp lý" (Cá nhân, 31358001, D11) tick 8 hồ sơ Chờ xem xét, click Xử lý hồ sơ trên dải thao tác, click nút Từ chối (n) để mở popup "Xác nhận từ chối cập nhật thông tin hồ sơ"
2. Quan sát góc trên bên phải popup</t>
  </si>
  <si>
    <t>1. Tại màn hình "Danh sách hồ sơ pháp lý" (Cá nhân, 31358001, D11) tick 8 hồ sơ Chờ xem xét, click Xử lý hồ sơ trên dải thao tác, click nút Từ chối (n) để mở popup "Xác nhận từ chối cập nhật thông tin hồ sơ"
2. Nhập Lý do
3. Click icon X</t>
  </si>
  <si>
    <t>Kiểm tra mở màn xử lý đồng thời với hai hồ sơ</t>
  </si>
  <si>
    <t>Biên dưới N = 2</t>
  </si>
  <si>
    <t>2 hồ sơ D11 cá nhân Chờ xem xét</t>
  </si>
  <si>
    <t>1. Tại màn hình "Danh sách hồ sơ pháp lý" tick 2 hồ sơ
2. Click Xử lý hồ sơ trên dải</t>
  </si>
  <si>
    <t>Mở màn hình "Xử lý đồng thời hồ sơ pháp lý" với 2 hồ sơ, cả 2 được chọn, hồ sơ đầu tiên đang xem (BR-026, BR-042)</t>
  </si>
  <si>
    <t>Kiểm tra mở màn xử lý đồng thời với nhiều hồ sơ</t>
  </si>
  <si>
    <t>N = 8</t>
  </si>
  <si>
    <t>8 hồ sơ</t>
  </si>
  <si>
    <t>Danh sách đủ 8 hồ sơ; nút Từ chối (8), Cập nhật (8)</t>
  </si>
  <si>
    <t>Kiểm tra chip chỉ tiêu khác biệt của từng hồ sơ</t>
  </si>
  <si>
    <t>Chip trong danh sách</t>
  </si>
  <si>
    <t>Hồ sơ khác CN003, CN004, CN009, ★CN010, CN020</t>
  </si>
  <si>
    <t>Chip đúng 5 mã khác biệt, ★ trước CN010; khớp các dòng tô nền khi xem hồ sơ đó với phiên bản TCTD mặc định (BR-042, assumption Q10)</t>
  </si>
  <si>
    <t>Kiểm tra đặt lại công tắc và phiên bản khi chuyển hồ sơ</t>
  </si>
  <si>
    <t>Trạng thái vùng so sánh khi chuyển</t>
  </si>
  <si>
    <t>1. Tại màn hình "Danh sách hồ sơ pháp lý" (Cá nhân, 31358001, D11) tick 8 hồ sơ Chờ xem xét, click Xử lý hồ sơ trên dải thao tác
2. Tắt công tắc, đổi Ngày báo cáo ở hồ sơ 1
3. Chuyển sang hồ sơ 2
4. Quay lại hồ sơ 1</t>
  </si>
  <si>
    <t>Mỗi lần chuyển hồ sơ: công tắc bật lại, Ngày báo cáo về phiên bản mới nhất (assumption Q34)</t>
  </si>
  <si>
    <t>Kiểm tra mã CIC của từng hồ sơ</t>
  </si>
  <si>
    <t>Cột CIC theo Mã CIC của hồ sơ</t>
  </si>
  <si>
    <t>Hồ sơ 1 CIC#83753223433A, hồ sơ 2 CIC#83753224108B</t>
  </si>
  <si>
    <t>1. Tại màn hình "Danh sách hồ sơ pháp lý" (Cá nhân, 31358001, D11) tick 8 hồ sơ Chờ xem xét, click Xử lý hồ sơ trên dải thao tác
2. Xem lần lượt hồ sơ 1 và 2</t>
  </si>
  <si>
    <t>Thẻ và cột CIC hiển thị đúng Mã CIC riêng của từng hồ sơ (BR-042, BR-043, AC#1)</t>
  </si>
  <si>
    <t>1. Tại màn hình "Danh sách hồ sơ pháp lý" (Cá nhân, 31358001, D11) tick 8 hồ sơ Chờ xem xét, click Xử lý hồ sơ trên dải thao tác
2. Tắt công tắc</t>
  </si>
  <si>
    <t>Vùng so sánh dùng tập chỉ tiêu D10/D11 cá nhân như popup "Xử lý hồ sơ pháp lý tệp D10/D11" (FEAT-06 AC#2)</t>
  </si>
  <si>
    <t>1. Tại màn hình "Danh sách hồ sơ pháp lý" (Tổ chức, 31358001, D11) tick 3 hồ sơ tổ chức Chờ xem xét, click Xử lý hồ sơ
2. Tắt công tắc</t>
  </si>
  <si>
    <t>Vùng so sánh dùng tập chỉ tiêu D10/D11 tổ chức gồm bảng TC024, TC025, TC026 (FEAT-06 AC#2)</t>
  </si>
  <si>
    <t>1. Tại màn hình "Danh sách hồ sơ pháp lý" (Cá nhân, 31358001, D11) tick 8 hồ sơ Chờ xem xét, click Xử lý hồ sơ trên dải thao tác
2. Mở ô Ngày báo cáo</t>
  </si>
  <si>
    <t>1. Tại màn hình "Danh sách hồ sơ pháp lý" (Cá nhân, 31358001, D11) tick 8 hồ sơ Chờ xem xét, click Xử lý hồ sơ trên dải thao tác
2. Chọn 30/06/2025</t>
  </si>
  <si>
    <t>1. Tại màn hình "Danh sách hồ sơ pháp lý" (Cá nhân, 31358001, D11) tick 8 hồ sơ Chờ xem xét, click Xử lý hồ sơ trên dải thao tác
2. Hover CN009</t>
  </si>
  <si>
    <t>1. Tại màn hình "Danh sách hồ sơ pháp lý" (Cá nhân, 31358001, D11) tick 8 hồ sơ Chờ xem xét, click Xử lý hồ sơ trên dải thao tác
2. Bật công tắc</t>
  </si>
  <si>
    <t>1. Tại màn hình "Danh sách hồ sơ pháp lý" (Tổ chức, 31358001, D11) tick 3 hồ sơ tổ chức Chờ xem xét, click Xử lý hồ sơ</t>
  </si>
  <si>
    <t>Kiểm tra cập nhật đồng thời thành công</t>
  </si>
  <si>
    <t>1. Tại màn hình "Danh sách hồ sơ pháp lý" (Cá nhân, 31358001, D11) tick 8 hồ sơ Chờ xem xét, click Xử lý hồ sơ trên dải thao tác
2. Click Cập nhật (n)
3. Nhập Lý do
4. Click Cập nhật trên popup "Xác nhận cập nhật thông tin hồ sơ"</t>
  </si>
  <si>
    <t>Toast SUC_001; mọi hồ sơ còn được chọn chuyển Đã xử lý; lý do được lưu chung cho các hồ sơ; popup và màn xử lý đóng, về màn hình "Danh sách hồ sơ pháp lý" đã tải lại (BR-040, BR-044, AC#3)
SQL đối soát (mẫu):
SELECT * FROM &lt;HO_SO_PHAP_LY&gt; WHERE LOAI_DU_LIEU = 'Pháp lý' AND TRANG_THAI_DU_LIEU = 'Hợp lệ' AND MA_TEP IN ('D10','D11','Q11') AND MA_KH = '&lt;mã KH&gt;' AND TRANG_THAI = 'Đã xử lý' AND LY_DO = 'Đã xác minh với đơn vị' ORDER BY NGAY_CAP_NHAT DESC;</t>
  </si>
  <si>
    <t>1. Tại màn hình "Danh sách hồ sơ pháp lý" (Cá nhân, 31358001, D11) tick 8 hồ sơ Chờ xem xét, click Xử lý hồ sơ trên dải thao tác
2. Cập nhật thành công
3. Truy vấn kho TCTD theo Mã CIC</t>
  </si>
  <si>
    <t>1. Tại màn hình "Danh sách hồ sơ pháp lý" (Cá nhân, 31358001, D11) tick 8 hồ sơ Chờ xem xét, click Xử lý hồ sơ trên dải thao tác
2. Ghi nhận giá trị cột CIC
3. Cập nhật thành công
4. Mở hồ sơ khác cùng KH</t>
  </si>
  <si>
    <t>1. Tại màn hình "Danh sách hồ sơ pháp lý" (Cá nhân, 31358001, D11) tick 8 hồ sơ Chờ xem xét, click Xử lý hồ sơ trên dải thao tác
2. Cập nhật hồ sơ A thành công
3. Mở hồ sơ Chờ xem xét khác cùng KH</t>
  </si>
  <si>
    <t>1. Tại màn hình "Danh sách hồ sơ pháp lý" (Cá nhân, 31358001, D11) tick 8 hồ sơ Chờ xem xét, click Xử lý hồ sơ trên dải thao tác
2. Cập nhật thành công
3. Xem chi tiết hồ sơ → tab Lịch sử</t>
  </si>
  <si>
    <t>1. Tại màn hình "Danh sách hồ sơ pháp lý" (Cá nhân, 31358001, D11) tick 8 hồ sơ Chờ xem xét, click Xử lý hồ sơ trên dải thao tác
2. Cập nhật thành công</t>
  </si>
  <si>
    <t>1. Tại màn hình "Danh sách hồ sơ pháp lý" (Cá nhân, 31358001, D11) tick 8 hồ sơ Chờ xem xét, click Xử lý hồ sơ trên dải thao tác
2. Cập nhật hồ sơ chờ cuối cùng của tệp</t>
  </si>
  <si>
    <t>1. Tại màn hình "Danh sách hồ sơ pháp lý" (Cá nhân, 31358001, D11) tick 8 hồ sơ Chờ xem xét, click Xử lý hồ sơ trên dải thao tác
2. Cập nhật 1 hồ sơ</t>
  </si>
  <si>
    <t>1. Tại màn hình "Danh sách hồ sơ pháp lý" (Cá nhân, 31358001, D11) tick 8 hồ sơ Chờ xem xét, click Xử lý hồ sơ trên dải thao tác
2. Cập nhật hồ sơ chờ cuối cùng</t>
  </si>
  <si>
    <t>Kiểm tra từ chối đồng thời thành công</t>
  </si>
  <si>
    <t>1. Tại màn hình "Danh sách hồ sơ pháp lý" (Cá nhân, 31358001, D11) tick 8 hồ sơ Chờ xem xét, click Xử lý hồ sơ trên dải thao tác
2. Click Từ chối (n)
3. Nhập Lý do
4. Click Từ chối trên popup "Xác nhận từ chối cập nhật thông tin hồ sơ"</t>
  </si>
  <si>
    <t>Mọi hồ sơ còn được chọn chuyển Từ chối, lưu lý do; popup và màn đóng, về màn hình "Danh sách hồ sơ pháp lý" (BR-041, BR-044)
SQL đối soát (mẫu):
SELECT * FROM &lt;HO_SO_PHAP_LY&gt; WHERE LOAI_DU_LIEU = 'Pháp lý' AND TRANG_THAI_DU_LIEU = 'Hợp lệ' AND MA_TEP IN ('D10','D11','Q11') AND MA_KH = '&lt;mã KH&gt;' AND TRANG_THAI = 'Từ chối' ORDER BY NGAY_CAP_NHAT DESC;</t>
  </si>
  <si>
    <t>1. Tại màn hình "Danh sách hồ sơ pháp lý" (Cá nhân, 31358001, D11) tick 8 hồ sơ Chờ xem xét, click Xử lý hồ sơ trên dải thao tác
2. Từ chối thành công
3. Truy vấn kho TCTD theo Mã CIC</t>
  </si>
  <si>
    <t>1. Tại màn hình "Danh sách hồ sơ pháp lý" (Cá nhân, 31358001, D11) tick 8 hồ sơ Chờ xem xét, click Xử lý hồ sơ trên dải thao tác
2. Từ chối thành công
3. Xem tab Lịch sử</t>
  </si>
  <si>
    <t>1. Tại màn hình "Danh sách hồ sơ pháp lý" (Cá nhân, 31358001, D11) tick 8 hồ sơ Chờ xem xét, click Xử lý hồ sơ trên dải thao tác
2. Từ chối hồ sơ đó</t>
  </si>
  <si>
    <t>Kiểm tra xử lý một phần danh sách</t>
  </si>
  <si>
    <t>Kiểm tra hồ sơ bỏ chọn không bị xử lý</t>
  </si>
  <si>
    <t>Loại hồ sơ khỏi lần xác nhận</t>
  </si>
  <si>
    <t>Bỏ chọn 2/8 hồ sơ</t>
  </si>
  <si>
    <t>1. Tại màn hình "Danh sách hồ sơ pháp lý" (Cá nhân, 31358001, D11) tick 8 hồ sơ Chờ xem xét, click Xử lý hồ sơ trên dải thao tác
2. Bỏ tick 2 hồ sơ
3. Click Cập nhật (6)
4. Nhập Lý do, xác nhận</t>
  </si>
  <si>
    <t>6 hồ sơ Đã xử lý cùng lý do; 2 hồ sơ bỏ chọn giữ Chờ xem xét (BR-042, ALT-04)</t>
  </si>
  <si>
    <t>Kiểm tra chọn lại hồ sơ đã bỏ chọn</t>
  </si>
  <si>
    <t>Đưa lại vào lần xác nhận</t>
  </si>
  <si>
    <t>1. Tại màn hình "Danh sách hồ sơ pháp lý" (Cá nhân, 31358001, D11) tick 8 hồ sơ Chờ xem xét, click Xử lý hồ sơ trên dải thao tác
2. Bỏ tick rồi tick lại 1 hồ sơ</t>
  </si>
  <si>
    <t>Hồ sơ hiển thị bình thường; số trên nút tăng lại (BR-042)</t>
  </si>
  <si>
    <t>Kiểm tra iNF_011 cho từng tệp khi lô gồm nhiều tệp</t>
  </si>
  <si>
    <t>Một thông báo mỗi tệp</t>
  </si>
  <si>
    <t>Lô gồm hồ sơ của 2 tên tệp D11, cả 2 tệp hết hồ sơ chờ sau lần từ chối</t>
  </si>
  <si>
    <t>1. Tại màn hình "Danh sách hồ sơ pháp lý" (Cá nhân, 31358001, D11) tick 8 hồ sơ Chờ xem xét, click Xử lý hồ sơ trên dải thao tác
2. Từ chối (n)</t>
  </si>
  <si>
    <t>Gửi 2 thông báo INF_011, mỗi tệp một thông báo (BR-012)</t>
  </si>
  <si>
    <t>Kiểm tra xử lý đồng thời không thành công</t>
  </si>
  <si>
    <t>1. Tại màn hình "Danh sách hồ sơ pháp lý" (Cá nhân, 31358001, D11) tick 8 hồ sơ Chờ xem xét, click Xử lý hồ sơ trên dải thao tác
2. Click Cập nhật (n)
3. Để trống Lý do
4. Click Cập nhật trên popup</t>
  </si>
  <si>
    <t>1. Tại màn hình "Danh sách hồ sơ pháp lý" (Cá nhân, 31358001, D11) tick 8 hồ sơ Chờ xem xét, click Xử lý hồ sơ trên dải thao tác
2. Click Từ chối (n)
3. Nhập Lý do
4. Click Hủy</t>
  </si>
  <si>
    <t>Hủy màn hình "Xử lý đồng thời hồ sơ pháp lý"</t>
  </si>
  <si>
    <t>1. Tại màn hình "Danh sách hồ sơ pháp lý" (Cá nhân, 31358001, D11) tick 8 hồ sơ Chờ xem xét, click Xử lý hồ sơ trên dải thao tác
2. Click Hủy</t>
  </si>
  <si>
    <t>Về màn hình "Danh sách hồ sơ pháp lý"; mọi hồ sơ vẫn Chờ xem xét, không ghi lịch sử (ALT-03)</t>
  </si>
  <si>
    <t>1. cbxl01: Tại màn hình "Danh sách hồ sơ pháp lý" (Cá nhân, 31358001, D11) tick 8 hồ sơ Chờ xem xét, click Xử lý hồ sơ trên dải thao tác
2. cbxl02 Cập nhật hồ sơ X thành công
3. cbxl01 click Từ chối, nhập Lý do, xác nhận</t>
  </si>
  <si>
    <t>Quản trị thu hồi quyền chức năng của cbxl01 khi đang mở màn hình "Xử lý đồng thời hồ sơ pháp lý"</t>
  </si>
  <si>
    <t>1. Tại màn hình "Danh sách hồ sơ pháp lý" (Cá nhân, 31358001, D11) tick 8 hồ sơ Chờ xem xét, click Xử lý hồ sơ trên dải thao tác
2. Thu hồi quyền
3. Click Cập nhật, nhập Lý do, xác nhận</t>
  </si>
  <si>
    <t>1. Tab 1 và Tab 2: Tại màn hình "Danh sách hồ sơ pháp lý" (Cá nhân, 31358001, D11) tick 8 hồ sơ Chờ xem xét, click Xử lý hồ sơ trên dải thao tác, click Cập nhật (n), nhập Lý do
2. Tab 1: xác nhận Cập nhật → thành công
3. Tab 2: xác nhận Cập nhật</t>
  </si>
  <si>
    <t>1. Tab 1 và Tab 2: Tại màn hình "Danh sách hồ sơ pháp lý" (Cá nhân, 31358001, D11) tick 8 hồ sơ Chờ xem xét, click Xử lý hồ sơ trên dải thao tác, click Từ chối (n), nhập Lý do
2. Tab 1: xác nhận Từ chối → thành công
3. Tab 2: xác nhận Từ chối</t>
  </si>
  <si>
    <t>1. cbxl01 và cbxl02: Tại màn hình "Danh sách hồ sơ pháp lý" (Cá nhân, 31358001, D11) tick 8 hồ sơ Chờ xem xét, click Xử lý hồ sơ trên dải thao tác, click Từ chối (n), nhập Lý do
2. cbxl01 xác nhận → thành công
3. cbxl02 xác nhận</t>
  </si>
  <si>
    <t>1. Tại màn hình "Danh sách hồ sơ pháp lý" (Cá nhân, 31358001, D11) tick 8 hồ sơ Chờ xem xét, click Xử lý hồ sơ trên dải thao tác
2. Click Cập nhật (n)
3. Nhập Lý do hợp lệ
4. Click Cập nhật trên popup xác nhận</t>
  </si>
  <si>
    <t>Hệ thống hiển thị thông báo "Đã có lỗi xảy ra. Vui lòng thử lại."; mọi hồ sơ còn được chọn giữ trạng thái Chờ xem xét, không ghi lý do (theo mẫu common1)</t>
  </si>
  <si>
    <t>Hiển thị loading trong thời gian chờ; sau đó hệ thống hiển thị thông báo "Đã có lỗi xảy ra. Vui lòng thử lại."; mọi hồ sơ còn được chọn giữ trạng thái Chờ xem xét, không ghi lý do (theo mẫu common1)</t>
  </si>
  <si>
    <t>1. Tại màn hình "Danh sách hồ sơ pháp lý" (Cá nhân, 31358001, D11) tick 8 hồ sơ Chờ xem xét, click Xử lý hồ sơ trên dải thao tác
2. Click Cập nhật (n)
3. Nhập Lý do hợp lệ
4. Chờ token hết hạn
5. Click Cập nhật trên popup xác nhận</t>
  </si>
  <si>
    <t>Hết token đăng nhập, điều hướng về màn hình đăng nhập; đăng nhập lại, mọi hồ sơ còn được chọn không bị chuyển trạng thái (theo mẫu common1)</t>
  </si>
  <si>
    <t>1. Tại màn hình "Danh sách hồ sơ pháp lý" (Cá nhân, 31358001, D11) tick 8 hồ sơ Chờ xem xét, click Xử lý hồ sơ trên dải thao tác
2. Click Từ chối (n)
3. Nhập Lý do hợp lệ
4. Click Từ chối trên popup xác nhận</t>
  </si>
  <si>
    <t>1. Tại màn hình "Danh sách hồ sơ pháp lý" (Cá nhân, 31358001, D11) tick 8 hồ sơ Chờ xem xét, click Xử lý hồ sơ trên dải thao tác
2. Click Từ chối (n)
3. Nhập Lý do hợp lệ
4. Chờ token hết hạn
5. Click Từ chối trên popup xác nhận</t>
  </si>
  <si>
    <t>Kiểm tra một hồ sơ trong lô thất bại</t>
  </si>
  <si>
    <t>All-or-nothing</t>
  </si>
  <si>
    <t>Lô 8 hồ sơ; hồ sơ thứ 5 đã bị cbxl02 Từ chối trước khi xác nhận</t>
  </si>
  <si>
    <t>1. Tại màn hình "Danh sách hồ sơ pháp lý" (Cá nhân, 31358001, D11) tick 8 hồ sơ Chờ xem xét, click Xử lý hồ sơ trên dải thao tác
2. Click Cập nhật (8)
3. Nhập Lý do, xác nhận</t>
  </si>
  <si>
    <t>Cả lô không được cập nhật: 7 hồ sơ còn lại giữ Chờ xem xét, không có SUC_001, không ghi lịch sử (Q07 — Option B); toast "Dữ liệu đã bị thay đổi bởi người khác. Vui lòng làm mới trang.", sau khi toast tắt tự thoát và reload màn hình "Danh sách hồ sơ pháp lý" (Q06)</t>
  </si>
  <si>
    <t>Kiểm tra lỗi ở bước sau khi cập nhật lô</t>
  </si>
  <si>
    <t>Rollback toàn bộ</t>
  </si>
  <si>
    <t>Giả lập lỗi gửi C06 / nghi trùng / INF_011</t>
  </si>
  <si>
    <t>Rollback toàn bộ lô: kho TCTD, trạng thái, lý do, lịch sử trở về như trước; hiển thị thông báo lỗi (Q07 — Option B)</t>
  </si>
  <si>
    <t>Chức năng (Phần này viết các trường hợp kiểm thử kiểm tra các ràng buộc trong cơ sở dữ liệu và cho các luồng nghiệp vụ trong tài liệu giải pháp, tích hợp với các chức năng khác) — Biến thể tệp Q11 (FEAT-XLDL-009-07)</t>
  </si>
  <si>
    <t>Kiểm tra xử lý đồng thời hồ sơ tệp Q11</t>
  </si>
  <si>
    <t>Kiểm tra mở xử lý đồng thời hồ sơ Q11</t>
  </si>
  <si>
    <t>Mở màn hình "Xử lý đồng thời hồ sơ pháp lý" với hồ sơ Q11</t>
  </si>
  <si>
    <t>3 hồ sơ Q11 cá nhân</t>
  </si>
  <si>
    <t>1. Tại màn hình "Danh sách hồ sơ pháp lý" tìm Mã tệp = Q11, tick 3 hồ sơ cá nhân Chờ xem xét, click Xử lý hồ sơ</t>
  </si>
  <si>
    <t>Mở màn hình "Xử lý đồng thời hồ sơ pháp lý"; dòng phụ "Tệp Q11 · Khách hàng cá nhân"; hồ sơ đầu tiên đang xem; cột CIC theo Mã CIC của hồ sơ (FEAT-07 AC#1)</t>
  </si>
  <si>
    <t>Kiểm tra tập chỉ tiêu Q11 khách hàng cá nhân</t>
  </si>
  <si>
    <t>Dòng chỉ tiêu Q11</t>
  </si>
  <si>
    <t>1. Tại màn hình "Danh sách hồ sơ pháp lý" tìm Mã tệp = Q11, tick 3 hồ sơ cá nhân Chờ xem xét, click Xử lý hồ sơ
2. Tắt công tắc</t>
  </si>
  <si>
    <t>Chỉ hiển thị TTC03, TTC04, CN001–CN012, CN014, CN016, CN017, CN022; không có KB và chỉ tiêu ngoài tập Q11 (FEAT-07 AC#2, assumption Q13)</t>
  </si>
  <si>
    <t>Kiểm tra tập chỉ tiêu Q11 khách hàng tổ chức</t>
  </si>
  <si>
    <t>Dòng chỉ tiêu Q11 tổ chức</t>
  </si>
  <si>
    <t>3 hồ sơ Q11 tổ chức</t>
  </si>
  <si>
    <t>1. Tìm Q11, Loại KH = Tổ chức, tick 3 hồ sơ
2. Xử lý hồ sơ
3. Tắt công tắc</t>
  </si>
  <si>
    <t>Chỉ hiển thị TTC03, TTC04, TC004–TC007, TC011–TC013, TC015, TC017–TC022; không có TC024/TC025/TC026</t>
  </si>
  <si>
    <t>Kiểm tra phiên bản TCTD gồm hồ sơ của mọi loại tệp</t>
  </si>
  <si>
    <t>Nguồn phiên bản cột TCTD</t>
  </si>
  <si>
    <t>KH có hồ sơ D10 kỳ 30/06 và Q11 đang xem xét</t>
  </si>
  <si>
    <t>1. Tại màn hình "Danh sách hồ sơ pháp lý" tìm Mã tệp = Q11, tick 3 hồ sơ cá nhân Chờ xem xét, click Xử lý hồ sơ
2. Mở ô Ngày báo cáo</t>
  </si>
  <si>
    <t>Có phiên bản 30/06 (D10); bảng chỉ so các chỉ tiêu thuộc tập Q11 (assumption Q13)</t>
  </si>
  <si>
    <t>Kiểm tra chip khác biệt theo tập Q11</t>
  </si>
  <si>
    <t>Chip chỉ tiêu khác biệt</t>
  </si>
  <si>
    <t>Chip chỉ chứa mã thuộc tập chỉ tiêu Q11</t>
  </si>
  <si>
    <t>Kiểm tra cập nhật đồng thời hồ sơ Q11</t>
  </si>
  <si>
    <t>Lý do 'Đã xác minh'</t>
  </si>
  <si>
    <t>1. Tại màn hình "Danh sách hồ sơ pháp lý" tìm Mã tệp = Q11, tick 3 hồ sơ cá nhân Chờ xem xét, click Xử lý hồ sơ
2. Click Cập nhật (3)
3. Nhập Lý do, xác nhận</t>
  </si>
  <si>
    <t>3 hồ sơ Đã xử lý, cùng lý do, SUC_001 (FEAT-07 AC#3)</t>
  </si>
  <si>
    <t>Kiểm tra từ chối đồng thời hồ sơ Q11</t>
  </si>
  <si>
    <t>Lý do 'Sai thông tin'</t>
  </si>
  <si>
    <t>1. Tại màn hình "Danh sách hồ sơ pháp lý" tìm Mã tệp = Q11, tick 3 hồ sơ cá nhân Chờ xem xét, click Xử lý hồ sơ
2. Click Từ chối (3)
3. Nhập Lý do, xác nhận</t>
  </si>
  <si>
    <t>3 hồ sơ Từ chối, cùng lý do, kho giữ nguyên</t>
  </si>
  <si>
    <t>Kiểm tra loại khách hàng lệch trên hồ sơ Q11</t>
  </si>
  <si>
    <t>Tô nền Loại KH</t>
  </si>
  <si>
    <t>Xem xét Cá nhân, CIC Tổ chức</t>
  </si>
  <si>
    <t>Tô nền cả hai ô Loại khách hàng (FEAT-07 AC#4)</t>
  </si>
  <si>
    <t>Kiểm tra all-or-nothing với hồ sơ Q11</t>
  </si>
  <si>
    <t>Một hồ sơ thất bại</t>
  </si>
  <si>
    <t>1/3 hồ sơ đã bị xử lý trước</t>
  </si>
  <si>
    <t>1. Tại màn hình "Danh sách hồ sơ pháp lý" tìm Mã tệp = Q11, tick 3 hồ sơ cá nhân Chờ xem xét, click Xử lý hồ sơ
2. Click Cập nhật (3)
3. Xác nhận</t>
  </si>
  <si>
    <t>Cả lô không được cập nhật (Q07 — Option B); toast "Dữ liệu đã bị thay đổi bởi người khác. Vui lòng làm mới trang.", sau khi toast tắt tự thoát và reload màn hình "Danh sách hồ sơ pháp lý" (Q06)</t>
  </si>
  <si>
    <t xml:space="preserve">Pre-condition:
- Có quyền gửi tệp D10, D11, Q11 qua FUNC-XLDL-002 trên môi trường test (hoặc công cụ nạp tệp của nhóm test)
- Đăng nhập cbxl01 (ROLE-CBTTXLDL, phân quyền TCTD 31358001 và 79202501) để kiểm chứng trên màn hình "Danh sách hồ sơ pháp lý" / popup "Xem chi tiết hồ sơ pháp lý tệp D10/D11" / popup "Xem chi tiết hồ sơ pháp lý tệp Q11"
- Danh mục chỉ tiêu (FUNC-XLDL-027) đánh dấu quan trọng: TTC04, CN001, CN005, CN006, CN008, CN010, CN016, TC004–TC006, TC011
- Truy cập được danh sách FUNC-XLDL-013 (cấp mã, nghi trùng) và FUNC-XLDL-035 (xác thực C06) để kiểm chứng
</t>
  </si>
  <si>
    <t>Kiểm tra phân loại hồ sơ khi tiếp nhận</t>
  </si>
  <si>
    <t>Kiểm tra khách hàng mới có quan hệ tín dụng</t>
  </si>
  <si>
    <t>Khóa TTC00+TTC03 chưa có trong CICinfo, có ở tệp khác</t>
  </si>
  <si>
    <t>31358001 + CIF0009001 chưa có trong CICinfo; có trong tệp D01 ở kho xem xét</t>
  </si>
  <si>
    <t>1. Gửi tệp D11 của đầu mối 31358001 chứa hồ sơ cần kiểm tra, chờ hệ thống tiếp nhận
2. Mở màn hình "Danh sách hồ sơ pháp lý", tìm Loại KH, Mã đầu mối = 31358001, Mã tệp = D11, bật cột Ngày cập nhật, Người cập nhật</t>
  </si>
  <si>
    <t>Hồ sơ Nhóm "Mới - Có QHTD", Trạng thái Chờ cấp mã, Mã CIC trống; được chuyển sang FUNC-XLDL-013 cấp mã (BR-003, BR-004, AC#1)</t>
  </si>
  <si>
    <t>Kiểm tra khách hàng mới không có quan hệ tín dụng</t>
  </si>
  <si>
    <t>Khóa chưa có ở bất kỳ tệp nào</t>
  </si>
  <si>
    <t>31358001 + CIF0009002 mới hoàn toàn</t>
  </si>
  <si>
    <t>Nhóm "Mới - Không QHTD", Trạng thái Chờ cấp mã (BR-004)</t>
  </si>
  <si>
    <t>Kiểm tra khách hàng cũ không đổi thông tin quan trọng</t>
  </si>
  <si>
    <t>So với phiên bản mới nhất tại kho TCTD</t>
  </si>
  <si>
    <t>CIF0000123464: chỉ đổi CN003 (không quan trọng) so với kho TCTD</t>
  </si>
  <si>
    <t>Nhóm "Không thay đổi TTQT", Trạng thái Đã xử lý; CN003 được cập nhật tự động vào kho TCTD, CICinfo không đổi (BR-007, AC#2, Q01, Q02)</t>
  </si>
  <si>
    <t>Kiểm tra khách hàng cũ có đổi thông tin quan trọng</t>
  </si>
  <si>
    <t>Đổi chỉ tiêu quan trọng</t>
  </si>
  <si>
    <t>CIF0000123462: đổi CN008 (quan trọng) so với kho TCTD</t>
  </si>
  <si>
    <t>Nhóm "Thay đổi TTQT", Trạng thái Chờ xem xét; CN008 được đánh dấu là chỉ tiêu quan trọng thay đổi (BR-008, AC#3, Q01)</t>
  </si>
  <si>
    <t>Kiểm tra đối chiếu với kho TCTD khi kho TCTD và CICinfo lệch nhau</t>
  </si>
  <si>
    <t>Baseline so sánh</t>
  </si>
  <si>
    <t>Kho TCTD CN008 = 001085099999; CICinfo CN008 = 001085012345; hồ sơ mới CN008 = 001085099999</t>
  </si>
  <si>
    <t>Hồ sơ là "Không thay đổi TTQT" / Đã xử lý vì trùng giá trị kho TCTD mới nhất cùng TTC00+TTC03 (Q01)</t>
  </si>
  <si>
    <t>Kiểm tra đổi nhiều chỉ tiêu quan trọng</t>
  </si>
  <si>
    <t>Đánh dấu nhiều chỉ tiêu</t>
  </si>
  <si>
    <t>Đổi CN001, CN008, CN016</t>
  </si>
  <si>
    <t>1. Gửi tệp D11 của đầu mối 31358001 chứa hồ sơ cần kiểm tra, chờ hệ thống tiếp nhận
2. Mở Xử lý hồ sơ của hồ sơ đó</t>
  </si>
  <si>
    <t>Hồ sơ Chờ xem xét; 3 chỉ tiêu được đánh dấu, có ★ và tô nền ở màn xử lý (BR-008, BR-035)</t>
  </si>
  <si>
    <t>Kiểm tra chỉ tiêu mã khách hàng không phát sinh khác biệt</t>
  </si>
  <si>
    <t>TTC03 là một phần khóa</t>
  </si>
  <si>
    <t>Hồ sơ đổi TTC03 so với kỳ trước</t>
  </si>
  <si>
    <t>Được nhận diện là khách hàng mới (khóa mới), không phải "Thay đổi TTQT" (BR-003, Q01)</t>
  </si>
  <si>
    <t>Kiểm tra nhận lặp khách hàng mới khi hồ sơ trước còn chờ cấp mã</t>
  </si>
  <si>
    <t>Hai hồ sơ Chờ cấp mã cùng khóa</t>
  </si>
  <si>
    <t>CIF0009002 kỳ 30/08 đang Chờ cấp mã; gửi tiếp kỳ 30/09</t>
  </si>
  <si>
    <t>Hồ sơ kỳ 30/09 cũng Chờ cấp mã, Nhóm Mới (Q04)</t>
  </si>
  <si>
    <t>Kiểm tra hồ sơ không hợp lệ không vào danh sách</t>
  </si>
  <si>
    <t>Hồ sơ lỗi tại kho tiền dữ liệu</t>
  </si>
  <si>
    <t>Hồ sơ sai cấu trúc trong tệp D11</t>
  </si>
  <si>
    <t>Không hiển thị ở màn hình "Danh sách hồ sơ pháp lý"; được xử lý tại FUNC-XLDL-010 (BR-002, EXC-01)</t>
  </si>
  <si>
    <t>Kiểm tra phân loại khách hàng mới có quan hệ tín dụng tệp D10</t>
  </si>
  <si>
    <t>R1 với tệp D10</t>
  </si>
  <si>
    <t>Khóa 31358001 + CIF00D1001 chưa có trong CICinfo, có ở tệp tín dụng</t>
  </si>
  <si>
    <t>1. Gửi tệp D10 của đầu mối 31358001, chờ hệ thống tiếp nhận
2. Mở màn hình "Danh sách hồ sơ pháp lý", tìm Loại KH = Cá nhân, Mã đầu mối = 31358001, Mã tệp = D10</t>
  </si>
  <si>
    <t>Nhóm "Mới - Có QHTD", Chờ cấp mã, chuyển cấp mã CIC (BR-004)</t>
  </si>
  <si>
    <t>Kiểm tra phân loại khách hàng mới không quan hệ tín dụng tệp D10</t>
  </si>
  <si>
    <t>R2 với tệp D10</t>
  </si>
  <si>
    <t>Khóa 31358001 + CIF00D1002 mới hoàn toàn</t>
  </si>
  <si>
    <t>Nhóm "Mới - Không QHTD", Chờ cấp mã (BR-004)</t>
  </si>
  <si>
    <t>Kiểm tra phân loại khách hàng cũ không đổi thông tin quan trọng tệp D10</t>
  </si>
  <si>
    <t>R3 với tệp D10</t>
  </si>
  <si>
    <t>Chỉ đổi CN003 so với phiên bản mới nhất tại kho TCTD</t>
  </si>
  <si>
    <t>Nhóm "Không thay đổi TTQT", Đã xử lý; cập nhật tự động vào kho TCTD (BR-007, Q01, Q02)</t>
  </si>
  <si>
    <t>Kiểm tra phân loại khách hàng cũ có đổi thông tin quan trọng tệp D10</t>
  </si>
  <si>
    <t>R4 với tệp D10</t>
  </si>
  <si>
    <t>Đổi CN008 so với phiên bản mới nhất tại kho TCTD</t>
  </si>
  <si>
    <t>Nhóm "Thay đổi TTQT", Chờ xem xét; CN008 được đánh dấu thay đổi (BR-008, Q01)</t>
  </si>
  <si>
    <t>Kiểm tra phân loại khách hàng mới có quan hệ tín dụng tệp Q11</t>
  </si>
  <si>
    <t>R1 với tệp Q11</t>
  </si>
  <si>
    <t>Khóa 31358001 + CIF00Q1101 chưa có trong CICinfo, có ở tệp tín dụng</t>
  </si>
  <si>
    <t>1. Gửi tệp Q11 của đầu mối 31358001, chờ hệ thống tiếp nhận
2. Mở màn hình "Danh sách hồ sơ pháp lý", tìm Loại KH = Cá nhân, Mã đầu mối = 31358001, Mã tệp = Q11</t>
  </si>
  <si>
    <t>Kiểm tra phân loại khách hàng mới không quan hệ tín dụng tệp Q11</t>
  </si>
  <si>
    <t>R2 với tệp Q11</t>
  </si>
  <si>
    <t>Khóa 31358001 + CIF00Q1102 mới hoàn toàn</t>
  </si>
  <si>
    <t>Kiểm tra phân loại khách hàng cũ không đổi thông tin quan trọng tệp Q11</t>
  </si>
  <si>
    <t>R3 với tệp Q11</t>
  </si>
  <si>
    <t>Kiểm tra phân loại khách hàng cũ có đổi thông tin quan trọng tệp Q11</t>
  </si>
  <si>
    <t>R4 với tệp Q11</t>
  </si>
  <si>
    <t>Kiểm tra phân loại khách hàng tổ chức mới</t>
  </si>
  <si>
    <t>R1/R2 với KH tổ chức</t>
  </si>
  <si>
    <t>Khóa 31358001 + DN0009001 chưa có trong CICinfo</t>
  </si>
  <si>
    <t>1. Gửi tệp D11 của đầu mối 31358001 chứa hồ sơ cần kiểm tra, chờ hệ thống tiếp nhận
2. Mở màn hình "Danh sách hồ sơ pháp lý", tìm Loại KH = Tổ chức, Mã đầu mối = 31358001, Mã tệp = D11</t>
  </si>
  <si>
    <t>Nhóm "Mới - Có QHTD" hoặc "Mới - Không QHTD" theo tệp tín dụng; Chờ cấp mã (BR-004)</t>
  </si>
  <si>
    <t>Kiểm tra khách hàng tổ chức đổi mã số doanh nghiệp</t>
  </si>
  <si>
    <t>R4 với KH tổ chức</t>
  </si>
  <si>
    <t>Đổi TC011 (MSDN — chỉ tiêu quan trọng)</t>
  </si>
  <si>
    <t>Nhóm "Thay đổi TTQT", Chờ xem xét; TC011 được đánh dấu thay đổi (BR-008, BR-009)</t>
  </si>
  <si>
    <t>Kiểm tra khách hàng tổ chức chỉ đổi chỉ tiêu không quan trọng</t>
  </si>
  <si>
    <t>R3 với KH tổ chức</t>
  </si>
  <si>
    <t>Chỉ đổi TC007 (Số điện thoại)</t>
  </si>
  <si>
    <t>Nhóm "Không thay đổi TTQT", Đã xử lý, cập nhật tự động vào kho TCTD (BR-007)</t>
  </si>
  <si>
    <t>Kiểm tra iNF_010 chỉ đếm hồ sơ chờ xem xét</t>
  </si>
  <si>
    <t>Tham số so_luong của INF_010</t>
  </si>
  <si>
    <t>Tệp D11 có 3 hồ sơ Chờ cấp mã, 4 hồ sơ Chờ xem xét, 2 hồ sơ Đã xử lý</t>
  </si>
  <si>
    <t>1. Gửi tệp D11 của đầu mối 31358001 chứa hồ sơ cần kiểm tra, chờ hệ thống tiếp nhận
2. Mở chuông thông báo của cbxl01</t>
  </si>
  <si>
    <t>INF_010 "Tệp &lt;tên tệp&gt; có 4 hồ sơ pháp lý chờ xem xét." (so_luong = số hồ sơ Chờ xem xét — FEAT-08 Thông báo)</t>
  </si>
  <si>
    <t>Kiểm tra chuyển trạng thái</t>
  </si>
  <si>
    <t>Kiểm tra chờ cấp mã chuyển đã xử lý khi được cấp mã</t>
  </si>
  <si>
    <t>ST-04 → ST-01</t>
  </si>
  <si>
    <t>Hồ sơ CIF0009001 Chờ cấp mã</t>
  </si>
  <si>
    <t>1. Tại FUNC-XLDL-013 cấp mã CIC cho KH
2. Mở màn hình "Danh sách hồ sơ pháp lý", tìm Loại KH, Mã đầu mối = 31358001, Mã tệp = D11, bật cột Ngày cập nhật, Người cập nhật</t>
  </si>
  <si>
    <t>Hồ sơ Đã xử lý, Mã CIC hiển thị; lịch sử "Cấp mã CIC" (BR-005, AC#5)</t>
  </si>
  <si>
    <t>Kiểm tra cấp mã cập nhật mọi hồ sơ chờ cấp mã cùng khóa</t>
  </si>
  <si>
    <t>Nhiều hồ sơ Chờ cấp mã</t>
  </si>
  <si>
    <t>CIF0009002 có 2 hồ sơ Chờ cấp mã</t>
  </si>
  <si>
    <t>1. Cấp mã cho CIF0009002
2. Mở màn hình "Danh sách hồ sơ pháp lý", tìm Loại KH, Mã đầu mối = 31358001, Mã tệp = D11, bật cột Ngày cập nhật, Người cập nhật</t>
  </si>
  <si>
    <t>Cả 2 hồ sơ chuyển Đã xử lý và nhận cùng Mã CIC (Q04)</t>
  </si>
  <si>
    <t>Kiểm tra trạng thái cuối không chuyển tiếp</t>
  </si>
  <si>
    <t>ST-01, ST-02 là trạng thái cuối</t>
  </si>
  <si>
    <t>Hồ sơ Đã xử lý và Từ chối</t>
  </si>
  <si>
    <t>1. Mở màn hình "Danh sách hồ sơ pháp lý", tìm Loại KH, Mã đầu mối = 31358001, Mã tệp = D11, bật cột Ngày cập nhật, Người cập nhật
2. Mở menu Thao tác, thử tick ô chọn</t>
  </si>
  <si>
    <t>Không có Xử lý hồ sơ, ô chọn bị khóa; không có đường chuyển sang trạng thái khác (Sơ đồ trạng thái, BR-023, BR-024)</t>
  </si>
  <si>
    <t>Kiểm tra ánh xạ trạng thái và nhóm khách hàng</t>
  </si>
  <si>
    <t>Tổ hợp Trạng thái × Nhóm KH</t>
  </si>
  <si>
    <t>Dữ liệu sau các ca trên</t>
  </si>
  <si>
    <t>1. Mở màn hình "Danh sách hồ sơ pháp lý", tìm Loại KH, Mã đầu mối = 31358001, Mã tệp = D11, bật cột Ngày cập nhật, Người cập nhật</t>
  </si>
  <si>
    <t>Chờ cấp mã ↔ Mới - Có/Không QHTD; Chờ xem xét, Từ chối ↔ Thay đổi TTQT; Đã xử lý ↔ mọi nhóm (BR-016)
SQL đối soát (mẫu):
SELECT * FROM &lt;HO_SO_PHAP_LY&gt; WHERE LOAI_DU_LIEU = 'Pháp lý' AND TRANG_THAI_DU_LIEU = 'Hợp lệ' AND MA_TEP IN ('D10','D11','Q11') AND MA_DAU_MOI = '31358001' GROUP BY TRANG_THAI, NHOM_KH ORDER BY TRANG_THAI;</t>
  </si>
  <si>
    <t>Kiểm tra cờ quan hệ tín dụng</t>
  </si>
  <si>
    <t>Kiểm tra cập nhật cờ đã có quan hệ tín dụng</t>
  </si>
  <si>
    <t>BR-006</t>
  </si>
  <si>
    <t>CIF0009002 đang đánh dấu không có QHTD; TCTD gửi hồ sơ quan hệ tín dụng (D01) của KH</t>
  </si>
  <si>
    <t>1. Gửi tệp tín dụng của CIF0009002
2. Truy vấn thông tin khách hàng</t>
  </si>
  <si>
    <t>Cờ quan hệ tín dụng của KH chuyển "đã có"; Nhóm KH trên màn hình "Danh sách hồ sơ pháp lý" giữ nguyên (BR-006, assumption Q17)</t>
  </si>
  <si>
    <t>Kiểm tra lịch sử khi tiếp nhận</t>
  </si>
  <si>
    <t>Kiểm tra ghi dòng lịch sử tiếp nhận</t>
  </si>
  <si>
    <t>Lịch sử theo khách hàng</t>
  </si>
  <si>
    <t>1. Gửi tệp D11 của đầu mối 31358001 chứa hồ sơ cần kiểm tra, chờ hệ thống tiếp nhận
2. Xem chi tiết hồ sơ → tab Lịch sử</t>
  </si>
  <si>
    <t>Có dòng "Tiếp nhận" do Sys ghi theo cặp TTC00 + TTC03 (BR-031, AC#6)</t>
  </si>
  <si>
    <t>Kiểm tra ghi dòng lịch sử cập nhật tự động</t>
  </si>
  <si>
    <t>1. Gửi tệp D11 của đầu mối 31358001 chứa hồ sơ cần kiểm tra, chờ hệ thống tiếp nhận
2. Xem tab Lịch sử</t>
  </si>
  <si>
    <t>Có dòng "Cập nhật tự động" do Sys, Giá trị cũ/mới các trường thay đổi (BR-031)</t>
  </si>
  <si>
    <t>Kiểm tra thông báo INF_010</t>
  </si>
  <si>
    <t>Kiểm tra gửi INF_010 khi tệp có hồ sơ chờ xem xét</t>
  </si>
  <si>
    <t>Thông báo cho cán bộ</t>
  </si>
  <si>
    <t>Tệp D11 có 5 hồ sơ Chờ xem xét</t>
  </si>
  <si>
    <t>1. Gửi tệp D11 của đầu mối 31358001 chứa hồ sơ cần kiểm tra, chờ hệ thống tiếp nhận
2. Đăng nhập cbxl01, mở chuông thông báo</t>
  </si>
  <si>
    <t>Nhận 1 thông báo INF_010 "Tệp &lt;tên tệp&gt; có 5 hồ sơ pháp lý chờ xem xét." cho tệp đó (BR-008, AC#4, assumption Q09)</t>
  </si>
  <si>
    <t>Kiểm tra mỗi tệp một thông báo INF_010</t>
  </si>
  <si>
    <t>2 tệp cùng có hồ sơ chờ</t>
  </si>
  <si>
    <t>2 tệp D11 và Q11</t>
  </si>
  <si>
    <t>1. Gửi 2 tệp
2. Mở chuông thông báo</t>
  </si>
  <si>
    <t>Nhận 2 thông báo, mỗi tệp 1 thông báo với số lượng đúng</t>
  </si>
  <si>
    <t>Kiểm tra chỉ cán bộ được phân quyền TCTD gửi tệp nhận INF_010</t>
  </si>
  <si>
    <t>Người nhận</t>
  </si>
  <si>
    <t>Tệp của 79202501; cbxl02 chỉ được phân quyền 31358001</t>
  </si>
  <si>
    <t>1. Gửi tệp của 79202501
2. Kiểm tra thông báo của cbxl01 và cbxl02</t>
  </si>
  <si>
    <t>cbxl01 nhận; cbxl02 không nhận (BR-008)</t>
  </si>
  <si>
    <t>Kiểm tra không gửi INF_010 khi tệp không có hồ sơ chờ xem xét</t>
  </si>
  <si>
    <t>Không đủ điều kiện</t>
  </si>
  <si>
    <t>Tệp chỉ có KH mới và Không thay đổi TTQT</t>
  </si>
  <si>
    <t>1. Gửi tệp D11 của đầu mối 31358001 chứa hồ sơ cần kiểm tra, chờ hệ thống tiếp nhận</t>
  </si>
  <si>
    <t>Không phát sinh INF_010 (FEAT-08 Xử lý sự kiện #3)</t>
  </si>
  <si>
    <t>Kiểm tra phân quyền và dữ liệu cá nhân</t>
  </si>
  <si>
    <t>Kiểm tra dữ liệu cá nhân hiển thị và xuất không che</t>
  </si>
  <si>
    <t>Phân loại dữ liệu</t>
  </si>
  <si>
    <t>Hồ sơ cá nhân có CN008, CN021</t>
  </si>
  <si>
    <t>1. Mở màn hình "Danh sách hồ sơ pháp lý", tìm Loại KH, Mã đầu mối = 31358001, Mã tệp = D11, bật cột Ngày cập nhật, Người cập nhật
2. Xem chi tiết
3. Xuất theo bộ lọc</t>
  </si>
  <si>
    <t>Giá trị hiển thị và trong tệp xuất không bị che (Phân loại dữ liệu: Không che). Nhật ký truy cập ngoài phạm vi kiểm thử (Q40)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</si>
</sst>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2"/>
      <color rgb="FF000000"/>
      <name val="Times New Roman"/>
    </font>
    <font>
      <sz val="12"/>
      <color rgb="FF000000"/>
      <name val="Times New Roman"/>
    </font>
    <font>
      <sz val="12"/>
      <color rgb="FF0000FF"/>
      <name val="Times New Roman"/>
    </font>
  </fonts>
  <fills count="9">
    <fill>
      <patternFill patternType="none"/>
    </fill>
    <fill>
      <patternFill patternType="gray125"/>
    </fill>
    <fill>
      <patternFill patternType="solid">
        <fgColor rgb="FFFFFFFF"/>
      </patternFill>
    </fill>
    <fill>
      <patternFill patternType="solid">
        <fgColor rgb="FFCCFFCC"/>
      </patternFill>
    </fill>
    <fill>
      <patternFill patternType="solid">
        <fgColor rgb="FF729FCF"/>
      </patternFill>
    </fill>
    <fill>
      <patternFill patternType="solid">
        <fgColor rgb="FFFFFF00"/>
      </patternFill>
    </fill>
    <fill>
      <patternFill patternType="solid">
        <fgColor rgb="FFF4CCCC"/>
      </patternFill>
    </fill>
    <fill>
      <patternFill patternType="solid">
        <fgColor rgb="FF92D050"/>
      </patternFill>
    </fill>
    <fill>
      <patternFill patternType="solid">
        <fgColor rgb="FF00B0F0"/>
      </patternFill>
    </fill>
  </fills>
  <borders count="6">
    <border>
      <left/>
      <right/>
      <top/>
      <bottom/>
      <diagonal/>
    </border>
    <border>
      <left style="thin">
        <color rgb="FFB2B2B2"/>
      </left>
      <right style="thin">
        <color rgb="FFB2B2B2"/>
      </right>
      <top style="thin">
        <color rgb="FFB2B2B2"/>
      </top>
      <bottom style="thin">
        <color rgb="FFB2B2B2"/>
      </bottom>
      <diagonal/>
    </border>
    <border>
      <left/>
      <right/>
      <top style="thin">
        <color rgb="FFB2B2B2"/>
      </top>
      <bottom style="thin">
        <color rgb="FFB2B2B2"/>
      </bottom>
      <diagonal/>
    </border>
    <border>
      <left/>
      <right style="thin">
        <color rgb="FFB2B2B2"/>
      </right>
      <top style="thin">
        <color rgb="FFB2B2B2"/>
      </top>
      <bottom style="thin">
        <color rgb="FFB2B2B2"/>
      </bottom>
      <diagonal/>
    </border>
    <border>
      <left style="thin">
        <color rgb="FFB2B2B2"/>
      </left>
      <right style="thin">
        <color rgb="FFB2B2B2"/>
      </right>
      <top/>
      <bottom/>
      <diagonal/>
    </border>
    <border>
      <left style="thin">
        <color rgb="FFB2B2B2"/>
      </left>
      <right style="thin">
        <color rgb="FFB2B2B2"/>
      </right>
      <top/>
      <bottom style="thin">
        <color rgb="FFB2B2B2"/>
      </bottom>
      <diagonal/>
    </border>
  </borders>
  <cellStyleXfs count="1">
    <xf numFmtId="0" fontId="0" fillId="0" borderId="0"/>
  </cellStyleXfs>
  <cellXfs count="26">
    <xf numFmtId="0" fontId="0" fillId="0" borderId="0" xfId="0"/>
    <xf numFmtId="0" fontId="1" fillId="0" borderId="1" xfId="0" applyFont="1" applyBorder="1" applyAlignment="1">
      <alignment horizontal="center" vertical="center" wrapText="1"/>
    </xf>
    <xf numFmtId="0" fontId="1" fillId="8"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164" fontId="1" fillId="0" borderId="1" xfId="0" applyNumberFormat="1" applyFont="1" applyBorder="1" applyAlignment="1">
      <alignment horizontal="center" vertical="center" wrapText="1"/>
    </xf>
    <xf numFmtId="0" fontId="1"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1" fillId="6" borderId="1" xfId="0" applyFont="1" applyFill="1" applyBorder="1" applyAlignment="1">
      <alignment horizontal="left" vertical="center" wrapText="1"/>
    </xf>
    <xf numFmtId="0" fontId="1" fillId="0" borderId="1" xfId="0" applyFont="1" applyBorder="1" applyAlignment="1">
      <alignment horizontal="center" vertical="center" wrapText="1"/>
    </xf>
    <xf numFmtId="0" fontId="0" fillId="0" borderId="0" xfId="0"/>
    <xf numFmtId="0" fontId="1" fillId="8"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0" fillId="0" borderId="4" xfId="0" applyBorder="1"/>
    <xf numFmtId="0" fontId="0" fillId="0" borderId="5" xfId="0" applyBorder="1"/>
    <xf numFmtId="0" fontId="1" fillId="4" borderId="1" xfId="0" applyFont="1" applyFill="1" applyBorder="1" applyAlignment="1">
      <alignment horizontal="center" vertical="center" wrapText="1"/>
    </xf>
    <xf numFmtId="0" fontId="1" fillId="5"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0" fillId="0" borderId="2" xfId="0" applyBorder="1"/>
    <xf numFmtId="0" fontId="0" fillId="0" borderId="3" xfId="0" applyBorder="1"/>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tabSelected="1" topLeftCell="A4" workbookViewId="0">
      <selection activeCell="O9" sqref="O9"/>
    </sheetView>
  </sheetViews>
  <sheetFormatPr defaultRowHeight="15" x14ac:dyDescent="0.25"/>
  <cols>
    <col min="1" max="1" width="13" customWidth="1"/>
    <col min="2" max="2" width="40" customWidth="1"/>
    <col min="3" max="10" width="14" customWidth="1"/>
  </cols>
  <sheetData>
    <row r="1" spans="1:10" x14ac:dyDescent="0.25">
      <c r="A1" s="13" t="s">
        <v>0</v>
      </c>
      <c r="B1" s="14"/>
      <c r="C1" s="14"/>
      <c r="D1" s="14"/>
      <c r="E1" s="14"/>
      <c r="F1" s="14"/>
      <c r="G1" s="14"/>
      <c r="H1" s="14"/>
      <c r="I1" s="14"/>
      <c r="J1" s="14"/>
    </row>
    <row r="3" spans="1:10" x14ac:dyDescent="0.25">
      <c r="A3" s="16" t="s">
        <v>1</v>
      </c>
      <c r="B3" s="16" t="s">
        <v>2</v>
      </c>
      <c r="C3" s="15" t="s">
        <v>3</v>
      </c>
      <c r="D3" s="14"/>
      <c r="E3" s="14"/>
      <c r="F3" s="14"/>
      <c r="G3" s="14"/>
      <c r="H3" s="14"/>
      <c r="I3" s="14"/>
      <c r="J3" s="14"/>
    </row>
    <row r="4" spans="1:10" ht="63" x14ac:dyDescent="0.25">
      <c r="A4" s="14"/>
      <c r="B4" s="14"/>
      <c r="C4" s="2" t="s">
        <v>4</v>
      </c>
      <c r="D4" s="2" t="s">
        <v>5</v>
      </c>
      <c r="E4" s="2" t="s">
        <v>6</v>
      </c>
      <c r="F4" s="2" t="s">
        <v>7</v>
      </c>
      <c r="G4" s="2" t="s">
        <v>8</v>
      </c>
      <c r="H4" s="2" t="s">
        <v>9</v>
      </c>
      <c r="I4" s="2" t="s">
        <v>10</v>
      </c>
      <c r="J4" s="2" t="s">
        <v>11</v>
      </c>
    </row>
    <row r="5" spans="1:10" ht="31.5" x14ac:dyDescent="0.25">
      <c r="A5" s="3">
        <v>1</v>
      </c>
      <c r="B5" s="4" t="s">
        <v>12</v>
      </c>
      <c r="C5" s="3">
        <f>M1_DanhSach!C7</f>
        <v>0</v>
      </c>
      <c r="D5" s="3">
        <f>M1_DanhSach!C8</f>
        <v>0</v>
      </c>
      <c r="E5" s="3">
        <f>M1_DanhSach!C9</f>
        <v>0</v>
      </c>
      <c r="F5" s="3">
        <f>M1_DanhSach!C10</f>
        <v>594</v>
      </c>
      <c r="G5" s="3">
        <f>M1_DanhSach!C11</f>
        <v>594</v>
      </c>
      <c r="H5" s="5">
        <f t="shared" ref="H5:H12" si="0">IF(G5=0,"",C5/G5)</f>
        <v>0</v>
      </c>
      <c r="I5" s="5">
        <f t="shared" ref="I5:I12" si="1">IF(G5=0,"",D5/G5)</f>
        <v>0</v>
      </c>
      <c r="J5" s="5">
        <f t="shared" ref="J5:J12" si="2">IF(G5=0,"",(C5+D5+E5)/G5)</f>
        <v>0</v>
      </c>
    </row>
    <row r="6" spans="1:10" ht="31.5" x14ac:dyDescent="0.25">
      <c r="A6" s="3">
        <v>2</v>
      </c>
      <c r="B6" s="4" t="s">
        <v>13</v>
      </c>
      <c r="C6" s="3">
        <f>M2_ChiTiet_D10D11!C7</f>
        <v>0</v>
      </c>
      <c r="D6" s="3">
        <f>M2_ChiTiet_D10D11!C8</f>
        <v>0</v>
      </c>
      <c r="E6" s="3">
        <f>M2_ChiTiet_D10D11!C9</f>
        <v>0</v>
      </c>
      <c r="F6" s="3">
        <f>M2_ChiTiet_D10D11!C10</f>
        <v>174</v>
      </c>
      <c r="G6" s="3">
        <f>M2_ChiTiet_D10D11!C11</f>
        <v>174</v>
      </c>
      <c r="H6" s="5">
        <f t="shared" si="0"/>
        <v>0</v>
      </c>
      <c r="I6" s="5">
        <f t="shared" si="1"/>
        <v>0</v>
      </c>
      <c r="J6" s="5">
        <f t="shared" si="2"/>
        <v>0</v>
      </c>
    </row>
    <row r="7" spans="1:10" ht="31.5" x14ac:dyDescent="0.25">
      <c r="A7" s="3">
        <v>3</v>
      </c>
      <c r="B7" s="4" t="s">
        <v>14</v>
      </c>
      <c r="C7" s="3">
        <f>M3_ChiTiet_Q11!C7</f>
        <v>0</v>
      </c>
      <c r="D7" s="3">
        <f>M3_ChiTiet_Q11!C8</f>
        <v>0</v>
      </c>
      <c r="E7" s="3">
        <f>M3_ChiTiet_Q11!C9</f>
        <v>0</v>
      </c>
      <c r="F7" s="3">
        <f>M3_ChiTiet_Q11!C10</f>
        <v>138</v>
      </c>
      <c r="G7" s="3">
        <f>M3_ChiTiet_Q11!C11</f>
        <v>138</v>
      </c>
      <c r="H7" s="5">
        <f t="shared" si="0"/>
        <v>0</v>
      </c>
      <c r="I7" s="5">
        <f t="shared" si="1"/>
        <v>0</v>
      </c>
      <c r="J7" s="5">
        <f t="shared" si="2"/>
        <v>0</v>
      </c>
    </row>
    <row r="8" spans="1:10" ht="63" x14ac:dyDescent="0.25">
      <c r="A8" s="3">
        <v>4</v>
      </c>
      <c r="B8" s="4" t="s">
        <v>15</v>
      </c>
      <c r="C8" s="3">
        <f>M4_XuLy_D10D11!C7</f>
        <v>0</v>
      </c>
      <c r="D8" s="3">
        <f>M4_XuLy_D10D11!C8</f>
        <v>0</v>
      </c>
      <c r="E8" s="3">
        <f>M4_XuLy_D10D11!C9</f>
        <v>0</v>
      </c>
      <c r="F8" s="3">
        <f>M4_XuLy_D10D11!C10</f>
        <v>255</v>
      </c>
      <c r="G8" s="3">
        <f>M4_XuLy_D10D11!C11</f>
        <v>255</v>
      </c>
      <c r="H8" s="5">
        <f t="shared" si="0"/>
        <v>0</v>
      </c>
      <c r="I8" s="5">
        <f t="shared" si="1"/>
        <v>0</v>
      </c>
      <c r="J8" s="5">
        <f t="shared" si="2"/>
        <v>0</v>
      </c>
    </row>
    <row r="9" spans="1:10" ht="63" x14ac:dyDescent="0.25">
      <c r="A9" s="3">
        <v>5</v>
      </c>
      <c r="B9" s="4" t="s">
        <v>16</v>
      </c>
      <c r="C9" s="3">
        <f>M5_XuLy_Q11!C7</f>
        <v>0</v>
      </c>
      <c r="D9" s="3">
        <f>M5_XuLy_Q11!C8</f>
        <v>0</v>
      </c>
      <c r="E9" s="3">
        <f>M5_XuLy_Q11!C9</f>
        <v>0</v>
      </c>
      <c r="F9" s="3">
        <f>M5_XuLy_Q11!C10</f>
        <v>243</v>
      </c>
      <c r="G9" s="3">
        <f>M5_XuLy_Q11!C11</f>
        <v>243</v>
      </c>
      <c r="H9" s="5">
        <f t="shared" si="0"/>
        <v>0</v>
      </c>
      <c r="I9" s="5">
        <f t="shared" si="1"/>
        <v>0</v>
      </c>
      <c r="J9" s="5">
        <f t="shared" si="2"/>
        <v>0</v>
      </c>
    </row>
    <row r="10" spans="1:10" ht="78.75" x14ac:dyDescent="0.25">
      <c r="A10" s="3">
        <v>6</v>
      </c>
      <c r="B10" s="4" t="s">
        <v>17</v>
      </c>
      <c r="C10" s="3">
        <f>M7_XuLyDongThoi!C7</f>
        <v>0</v>
      </c>
      <c r="D10" s="3">
        <f>M7_XuLyDongThoi!C8</f>
        <v>0</v>
      </c>
      <c r="E10" s="3">
        <f>M7_XuLyDongThoi!C9</f>
        <v>0</v>
      </c>
      <c r="F10" s="3">
        <f>M7_XuLyDongThoi!C10</f>
        <v>284</v>
      </c>
      <c r="G10" s="3">
        <f>M7_XuLyDongThoi!C11</f>
        <v>284</v>
      </c>
      <c r="H10" s="5">
        <f t="shared" si="0"/>
        <v>0</v>
      </c>
      <c r="I10" s="5">
        <f t="shared" si="1"/>
        <v>0</v>
      </c>
      <c r="J10" s="5">
        <f t="shared" si="2"/>
        <v>0</v>
      </c>
    </row>
    <row r="11" spans="1:10" ht="31.5" x14ac:dyDescent="0.25">
      <c r="A11" s="3">
        <v>7</v>
      </c>
      <c r="B11" s="4" t="s">
        <v>18</v>
      </c>
      <c r="C11" s="3">
        <f>M8_NghiepVu_TichHop!C7</f>
        <v>0</v>
      </c>
      <c r="D11" s="3">
        <f>M8_NghiepVu_TichHop!C8</f>
        <v>0</v>
      </c>
      <c r="E11" s="3">
        <f>M8_NghiepVu_TichHop!C9</f>
        <v>0</v>
      </c>
      <c r="F11" s="3">
        <f>M8_NghiepVu_TichHop!C10</f>
        <v>33</v>
      </c>
      <c r="G11" s="3">
        <f>M8_NghiepVu_TichHop!C11</f>
        <v>33</v>
      </c>
      <c r="H11" s="5">
        <f t="shared" si="0"/>
        <v>0</v>
      </c>
      <c r="I11" s="5">
        <f t="shared" si="1"/>
        <v>0</v>
      </c>
      <c r="J11" s="5">
        <f t="shared" si="2"/>
        <v>0</v>
      </c>
    </row>
    <row r="12" spans="1:10" ht="15.75" x14ac:dyDescent="0.25">
      <c r="A12" s="13" t="s">
        <v>19</v>
      </c>
      <c r="B12" s="14"/>
      <c r="C12" s="1">
        <f>SUM(C5:C11)</f>
        <v>0</v>
      </c>
      <c r="D12" s="1">
        <f>SUM(D5:D11)</f>
        <v>0</v>
      </c>
      <c r="E12" s="1">
        <f>SUM(E5:E11)</f>
        <v>0</v>
      </c>
      <c r="F12" s="1">
        <f>SUM(F5:F11)</f>
        <v>1721</v>
      </c>
      <c r="G12" s="1">
        <f>SUM(G5:G11)</f>
        <v>1721</v>
      </c>
      <c r="H12" s="5">
        <f t="shared" si="0"/>
        <v>0</v>
      </c>
      <c r="I12" s="5">
        <f t="shared" si="1"/>
        <v>0</v>
      </c>
      <c r="J12" s="5">
        <f t="shared" si="2"/>
        <v>0</v>
      </c>
    </row>
  </sheetData>
  <mergeCells count="5">
    <mergeCell ref="A1:J1"/>
    <mergeCell ref="C3:J3"/>
    <mergeCell ref="B3:B4"/>
    <mergeCell ref="A3:A4"/>
    <mergeCell ref="A12:B1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677"/>
  <sheetViews>
    <sheetView workbookViewId="0"/>
  </sheetViews>
  <sheetFormatPr defaultRowHeight="15" x14ac:dyDescent="0.25"/>
  <cols>
    <col min="1" max="1" width="13" customWidth="1"/>
    <col min="2" max="2" width="33.5703125" customWidth="1"/>
    <col min="3" max="4" width="28" customWidth="1"/>
    <col min="5" max="5" width="44.28515625" customWidth="1"/>
    <col min="6" max="6" width="59.7109375" customWidth="1"/>
    <col min="7" max="7" width="12.5703125" customWidth="1"/>
    <col min="8" max="17" width="13" customWidth="1"/>
  </cols>
  <sheetData>
    <row r="1" spans="1:17" x14ac:dyDescent="0.25">
      <c r="B1" s="25" t="s">
        <v>20</v>
      </c>
      <c r="C1" s="14"/>
      <c r="D1" s="14"/>
      <c r="E1" s="14"/>
      <c r="F1" s="14"/>
    </row>
    <row r="3" spans="1:17" ht="47.25" x14ac:dyDescent="0.25">
      <c r="B3" s="6" t="s">
        <v>21</v>
      </c>
      <c r="C3" s="7" t="s">
        <v>12</v>
      </c>
      <c r="E3" s="6" t="s">
        <v>22</v>
      </c>
      <c r="F3" s="8"/>
    </row>
    <row r="4" spans="1:17" ht="15.75" x14ac:dyDescent="0.25">
      <c r="B4" s="6" t="s">
        <v>23</v>
      </c>
      <c r="C4" s="7" t="s">
        <v>24</v>
      </c>
      <c r="E4" s="6" t="s">
        <v>25</v>
      </c>
    </row>
    <row r="6" spans="1:17" ht="15.75" x14ac:dyDescent="0.25">
      <c r="B6" s="6" t="s">
        <v>3</v>
      </c>
    </row>
    <row r="7" spans="1:17" ht="15.75" x14ac:dyDescent="0.25">
      <c r="B7" s="6" t="s">
        <v>4</v>
      </c>
      <c r="C7" s="9">
        <f>COUNTIF($O$20:$O$677,"P")</f>
        <v>0</v>
      </c>
    </row>
    <row r="8" spans="1:17" ht="31.5" x14ac:dyDescent="0.25">
      <c r="B8" s="6" t="s">
        <v>5</v>
      </c>
      <c r="C8" s="9">
        <f>COUNTIF($O$20:$O$677,"F")</f>
        <v>0</v>
      </c>
    </row>
    <row r="9" spans="1:17" ht="31.5" x14ac:dyDescent="0.25">
      <c r="B9" s="6" t="s">
        <v>6</v>
      </c>
      <c r="C9" s="9">
        <f>COUNTIF($O$20:$O$677,"PE")</f>
        <v>0</v>
      </c>
    </row>
    <row r="10" spans="1:17" ht="31.5" x14ac:dyDescent="0.25">
      <c r="B10" s="6" t="s">
        <v>7</v>
      </c>
      <c r="C10" s="9">
        <f>C11-C7-C8-C9</f>
        <v>594</v>
      </c>
    </row>
    <row r="11" spans="1:17" ht="15.75" x14ac:dyDescent="0.25">
      <c r="B11" s="6" t="s">
        <v>8</v>
      </c>
      <c r="C11" s="9">
        <f>COUNTA($F$20:$F$677)</f>
        <v>594</v>
      </c>
    </row>
    <row r="15" spans="1:17" x14ac:dyDescent="0.25">
      <c r="A15" s="20" t="s">
        <v>26</v>
      </c>
      <c r="B15" s="20" t="s">
        <v>27</v>
      </c>
      <c r="C15" s="20" t="s">
        <v>28</v>
      </c>
      <c r="D15" s="20" t="s">
        <v>29</v>
      </c>
      <c r="E15" s="20" t="s">
        <v>30</v>
      </c>
      <c r="F15" s="20" t="s">
        <v>31</v>
      </c>
      <c r="G15" s="20" t="s">
        <v>32</v>
      </c>
      <c r="H15" s="20" t="s">
        <v>33</v>
      </c>
      <c r="I15" s="20" t="s">
        <v>34</v>
      </c>
      <c r="J15" s="14"/>
      <c r="K15" s="14"/>
      <c r="L15" s="14"/>
      <c r="M15" s="14"/>
      <c r="N15" s="14"/>
      <c r="O15" s="20" t="s">
        <v>35</v>
      </c>
      <c r="P15" s="20" t="s">
        <v>36</v>
      </c>
      <c r="Q15" s="20" t="s">
        <v>37</v>
      </c>
    </row>
    <row r="16" spans="1:17" x14ac:dyDescent="0.25">
      <c r="A16" s="14"/>
      <c r="B16" s="14"/>
      <c r="C16" s="14"/>
      <c r="D16" s="14"/>
      <c r="E16" s="14"/>
      <c r="F16" s="14"/>
      <c r="G16" s="14"/>
      <c r="H16" s="14"/>
      <c r="I16" s="20" t="s">
        <v>38</v>
      </c>
      <c r="J16" s="14"/>
      <c r="K16" s="14"/>
      <c r="L16" s="14"/>
      <c r="M16" s="14"/>
      <c r="N16" s="14"/>
      <c r="O16" s="14"/>
      <c r="P16" s="14"/>
      <c r="Q16" s="14"/>
    </row>
    <row r="17" spans="1:17" ht="31.5" x14ac:dyDescent="0.25">
      <c r="A17" s="14"/>
      <c r="B17" s="14"/>
      <c r="C17" s="14"/>
      <c r="D17" s="14"/>
      <c r="E17" s="14"/>
      <c r="F17" s="14"/>
      <c r="G17" s="14"/>
      <c r="H17" s="14"/>
      <c r="I17" s="10" t="s">
        <v>39</v>
      </c>
      <c r="J17" s="10" t="s">
        <v>40</v>
      </c>
      <c r="K17" s="10" t="s">
        <v>41</v>
      </c>
      <c r="L17" s="10" t="s">
        <v>40</v>
      </c>
      <c r="M17" s="10" t="s">
        <v>42</v>
      </c>
      <c r="N17" s="10" t="s">
        <v>40</v>
      </c>
      <c r="O17" s="14"/>
      <c r="P17" s="14"/>
      <c r="Q17" s="14"/>
    </row>
    <row r="18" spans="1:17" ht="80.099999999999994" customHeight="1" x14ac:dyDescent="0.25">
      <c r="B18" s="21" t="s">
        <v>43</v>
      </c>
      <c r="C18" s="14"/>
      <c r="D18" s="14"/>
      <c r="E18" s="14"/>
      <c r="F18" s="14"/>
    </row>
    <row r="19" spans="1:17" ht="20.100000000000001" customHeight="1" x14ac:dyDescent="0.25">
      <c r="A19" s="11"/>
      <c r="B19" s="22" t="s">
        <v>44</v>
      </c>
      <c r="C19" s="23"/>
      <c r="D19" s="23"/>
      <c r="E19" s="23"/>
      <c r="F19" s="24"/>
      <c r="G19" s="11"/>
      <c r="H19" s="11"/>
      <c r="I19" s="11"/>
      <c r="J19" s="11"/>
      <c r="K19" s="11"/>
      <c r="L19" s="11"/>
      <c r="M19" s="11"/>
      <c r="N19" s="11"/>
      <c r="O19" s="11"/>
      <c r="P19" s="11"/>
      <c r="Q19" s="11"/>
    </row>
    <row r="20" spans="1:17" ht="20.100000000000001" customHeight="1" x14ac:dyDescent="0.25">
      <c r="A20" s="9" t="str">
        <f>IF(F20="","",ROW()-19-COUNTBLANK($F$20:F20))</f>
        <v/>
      </c>
      <c r="B20" s="12" t="s">
        <v>45</v>
      </c>
      <c r="C20" s="12"/>
      <c r="D20" s="12"/>
      <c r="E20" s="12"/>
      <c r="F20" s="12"/>
      <c r="G20" s="12"/>
      <c r="H20" s="12"/>
      <c r="I20" s="12"/>
      <c r="J20" s="12"/>
      <c r="K20" s="12"/>
      <c r="L20" s="12"/>
      <c r="M20" s="12"/>
      <c r="N20" s="12"/>
      <c r="O20" s="12"/>
      <c r="P20" s="12"/>
      <c r="Q20" s="12"/>
    </row>
    <row r="21" spans="1:17" ht="60" customHeight="1" x14ac:dyDescent="0.25">
      <c r="A21" s="9">
        <f>IF(F21="","",ROW()-19-COUNTBLANK($F$20:F21))</f>
        <v>1</v>
      </c>
      <c r="B21" s="4" t="s">
        <v>46</v>
      </c>
      <c r="C21" s="4" t="s">
        <v>47</v>
      </c>
      <c r="D21" s="4"/>
      <c r="E21" s="7" t="s">
        <v>48</v>
      </c>
      <c r="F21" s="7" t="s">
        <v>49</v>
      </c>
      <c r="G21" s="3" t="s">
        <v>50</v>
      </c>
      <c r="H21" s="3"/>
      <c r="I21" s="3"/>
      <c r="J21" s="3"/>
      <c r="K21" s="3"/>
      <c r="L21" s="3"/>
      <c r="M21" s="3"/>
      <c r="N21" s="3"/>
      <c r="O21" s="3"/>
      <c r="P21" s="3"/>
      <c r="Q21" s="3"/>
    </row>
    <row r="22" spans="1:17" ht="60" customHeight="1" x14ac:dyDescent="0.25">
      <c r="A22" s="9">
        <f>IF(F22="","",ROW()-19-COUNTBLANK($F$20:F22))</f>
        <v>2</v>
      </c>
      <c r="B22" s="4" t="s">
        <v>51</v>
      </c>
      <c r="C22" s="4" t="s">
        <v>52</v>
      </c>
      <c r="D22" s="4"/>
      <c r="E22" s="7" t="s">
        <v>53</v>
      </c>
      <c r="F22" s="7" t="s">
        <v>54</v>
      </c>
      <c r="G22" s="3" t="s">
        <v>55</v>
      </c>
      <c r="H22" s="3"/>
      <c r="I22" s="3"/>
      <c r="J22" s="3"/>
      <c r="K22" s="3"/>
      <c r="L22" s="3"/>
      <c r="M22" s="3"/>
      <c r="N22" s="3"/>
      <c r="O22" s="3"/>
      <c r="P22" s="3"/>
      <c r="Q22" s="3"/>
    </row>
    <row r="23" spans="1:17" ht="60" customHeight="1" x14ac:dyDescent="0.25">
      <c r="A23" s="9">
        <f>IF(F23="","",ROW()-19-COUNTBLANK($F$20:F23))</f>
        <v>3</v>
      </c>
      <c r="B23" s="4" t="s">
        <v>56</v>
      </c>
      <c r="C23" s="4" t="s">
        <v>57</v>
      </c>
      <c r="D23" s="4"/>
      <c r="E23" s="7" t="s">
        <v>58</v>
      </c>
      <c r="F23" s="7" t="s">
        <v>59</v>
      </c>
      <c r="G23" s="3" t="s">
        <v>55</v>
      </c>
      <c r="H23" s="3"/>
      <c r="I23" s="3"/>
      <c r="J23" s="3"/>
      <c r="K23" s="3"/>
      <c r="L23" s="3"/>
      <c r="M23" s="3"/>
      <c r="N23" s="3"/>
      <c r="O23" s="3"/>
      <c r="P23" s="3"/>
      <c r="Q23" s="3"/>
    </row>
    <row r="24" spans="1:17" ht="60" customHeight="1" x14ac:dyDescent="0.25">
      <c r="A24" s="9">
        <f>IF(F24="","",ROW()-19-COUNTBLANK($F$20:F24))</f>
        <v>4</v>
      </c>
      <c r="B24" s="4" t="s">
        <v>60</v>
      </c>
      <c r="C24" s="4" t="s">
        <v>61</v>
      </c>
      <c r="D24" s="4"/>
      <c r="E24" s="7" t="s">
        <v>62</v>
      </c>
      <c r="F24" s="7" t="s">
        <v>63</v>
      </c>
      <c r="G24" s="3" t="s">
        <v>55</v>
      </c>
      <c r="H24" s="3"/>
      <c r="I24" s="3"/>
      <c r="J24" s="3"/>
      <c r="K24" s="3"/>
      <c r="L24" s="3"/>
      <c r="M24" s="3"/>
      <c r="N24" s="3"/>
      <c r="O24" s="3"/>
      <c r="P24" s="3"/>
      <c r="Q24" s="3"/>
    </row>
    <row r="25" spans="1:17" ht="60" customHeight="1" x14ac:dyDescent="0.25">
      <c r="A25" s="9">
        <f>IF(F25="","",ROW()-19-COUNTBLANK($F$20:F25))</f>
        <v>5</v>
      </c>
      <c r="B25" s="4" t="s">
        <v>64</v>
      </c>
      <c r="C25" s="4" t="s">
        <v>65</v>
      </c>
      <c r="D25" s="4"/>
      <c r="E25" s="7" t="s">
        <v>66</v>
      </c>
      <c r="F25" s="7" t="s">
        <v>67</v>
      </c>
      <c r="G25" s="3" t="s">
        <v>55</v>
      </c>
      <c r="H25" s="3"/>
      <c r="I25" s="3"/>
      <c r="J25" s="3"/>
      <c r="K25" s="3"/>
      <c r="L25" s="3"/>
      <c r="M25" s="3"/>
      <c r="N25" s="3"/>
      <c r="O25" s="3"/>
      <c r="P25" s="3"/>
      <c r="Q25" s="3"/>
    </row>
    <row r="26" spans="1:17" ht="60" customHeight="1" x14ac:dyDescent="0.25">
      <c r="A26" s="9">
        <f>IF(F26="","",ROW()-19-COUNTBLANK($F$20:F26))</f>
        <v>6</v>
      </c>
      <c r="B26" s="4" t="s">
        <v>68</v>
      </c>
      <c r="C26" s="4" t="s">
        <v>69</v>
      </c>
      <c r="D26" s="4" t="s">
        <v>70</v>
      </c>
      <c r="E26" s="7" t="s">
        <v>71</v>
      </c>
      <c r="F26" s="7" t="s">
        <v>72</v>
      </c>
      <c r="G26" s="3" t="s">
        <v>73</v>
      </c>
      <c r="H26" s="3"/>
      <c r="I26" s="3"/>
      <c r="J26" s="3"/>
      <c r="K26" s="3"/>
      <c r="L26" s="3"/>
      <c r="M26" s="3"/>
      <c r="N26" s="3"/>
      <c r="O26" s="3"/>
      <c r="P26" s="3"/>
      <c r="Q26" s="3"/>
    </row>
    <row r="27" spans="1:17" ht="60" customHeight="1" x14ac:dyDescent="0.25">
      <c r="A27" s="9">
        <f>IF(F27="","",ROW()-19-COUNTBLANK($F$20:F27))</f>
        <v>7</v>
      </c>
      <c r="B27" s="4" t="s">
        <v>74</v>
      </c>
      <c r="C27" s="4" t="s">
        <v>75</v>
      </c>
      <c r="D27" s="4" t="s">
        <v>76</v>
      </c>
      <c r="E27" s="7" t="s">
        <v>77</v>
      </c>
      <c r="F27" s="7" t="s">
        <v>78</v>
      </c>
      <c r="G27" s="3" t="s">
        <v>73</v>
      </c>
      <c r="H27" s="3"/>
      <c r="I27" s="3"/>
      <c r="J27" s="3"/>
      <c r="K27" s="3"/>
      <c r="L27" s="3"/>
      <c r="M27" s="3"/>
      <c r="N27" s="3"/>
      <c r="O27" s="3"/>
      <c r="P27" s="3"/>
      <c r="Q27" s="3"/>
    </row>
    <row r="28" spans="1:17" ht="60" customHeight="1" x14ac:dyDescent="0.25">
      <c r="A28" s="9">
        <f>IF(F28="","",ROW()-19-COUNTBLANK($F$20:F28))</f>
        <v>8</v>
      </c>
      <c r="B28" s="4" t="s">
        <v>79</v>
      </c>
      <c r="C28" s="4" t="s">
        <v>80</v>
      </c>
      <c r="D28" s="4" t="s">
        <v>81</v>
      </c>
      <c r="E28" s="7" t="s">
        <v>82</v>
      </c>
      <c r="F28" s="7" t="s">
        <v>83</v>
      </c>
      <c r="G28" s="3" t="s">
        <v>73</v>
      </c>
      <c r="H28" s="3"/>
      <c r="I28" s="3"/>
      <c r="J28" s="3"/>
      <c r="K28" s="3"/>
      <c r="L28" s="3"/>
      <c r="M28" s="3"/>
      <c r="N28" s="3"/>
      <c r="O28" s="3"/>
      <c r="P28" s="3"/>
      <c r="Q28" s="3"/>
    </row>
    <row r="29" spans="1:17" ht="20.100000000000001" customHeight="1" x14ac:dyDescent="0.25">
      <c r="A29" s="9" t="str">
        <f>IF(F29="","",ROW()-19-COUNTBLANK($F$20:F29))</f>
        <v/>
      </c>
      <c r="B29" s="12" t="s">
        <v>84</v>
      </c>
      <c r="C29" s="12"/>
      <c r="D29" s="12"/>
      <c r="E29" s="12"/>
      <c r="F29" s="12"/>
      <c r="G29" s="12"/>
      <c r="H29" s="12"/>
      <c r="I29" s="12"/>
      <c r="J29" s="12"/>
      <c r="K29" s="12"/>
      <c r="L29" s="12"/>
      <c r="M29" s="12"/>
      <c r="N29" s="12"/>
      <c r="O29" s="12"/>
      <c r="P29" s="12"/>
      <c r="Q29" s="12"/>
    </row>
    <row r="30" spans="1:17" ht="60" customHeight="1" x14ac:dyDescent="0.25">
      <c r="A30" s="9">
        <f>IF(F30="","",ROW()-19-COUNTBLANK($F$20:F30))</f>
        <v>9</v>
      </c>
      <c r="B30" s="4" t="s">
        <v>85</v>
      </c>
      <c r="C30" s="4" t="s">
        <v>85</v>
      </c>
      <c r="D30" s="4"/>
      <c r="E30" s="7" t="s">
        <v>86</v>
      </c>
      <c r="F30" s="7" t="s">
        <v>87</v>
      </c>
      <c r="G30" s="3" t="s">
        <v>73</v>
      </c>
      <c r="H30" s="3"/>
      <c r="I30" s="3"/>
      <c r="J30" s="3"/>
      <c r="K30" s="3"/>
      <c r="L30" s="3"/>
      <c r="M30" s="3"/>
      <c r="N30" s="3"/>
      <c r="O30" s="3"/>
      <c r="P30" s="3"/>
      <c r="Q30" s="3"/>
    </row>
    <row r="31" spans="1:17" ht="60" customHeight="1" x14ac:dyDescent="0.25">
      <c r="A31" s="9">
        <f>IF(F31="","",ROW()-19-COUNTBLANK($F$20:F31))</f>
        <v>10</v>
      </c>
      <c r="B31" s="4" t="s">
        <v>88</v>
      </c>
      <c r="C31" s="4" t="s">
        <v>88</v>
      </c>
      <c r="D31" s="4"/>
      <c r="E31" s="7" t="s">
        <v>89</v>
      </c>
      <c r="F31" s="7" t="s">
        <v>90</v>
      </c>
      <c r="G31" s="3" t="s">
        <v>73</v>
      </c>
      <c r="H31" s="3"/>
      <c r="I31" s="3"/>
      <c r="J31" s="3"/>
      <c r="K31" s="3"/>
      <c r="L31" s="3"/>
      <c r="M31" s="3"/>
      <c r="N31" s="3"/>
      <c r="O31" s="3"/>
      <c r="P31" s="3"/>
      <c r="Q31" s="3"/>
    </row>
    <row r="32" spans="1:17" ht="20.100000000000001" customHeight="1" x14ac:dyDescent="0.25">
      <c r="A32" s="9" t="str">
        <f>IF(F32="","",ROW()-19-COUNTBLANK($F$20:F32))</f>
        <v/>
      </c>
      <c r="B32" s="12" t="s">
        <v>91</v>
      </c>
      <c r="C32" s="12"/>
      <c r="D32" s="12"/>
      <c r="E32" s="12"/>
      <c r="F32" s="12"/>
      <c r="G32" s="12"/>
      <c r="H32" s="12"/>
      <c r="I32" s="12"/>
      <c r="J32" s="12"/>
      <c r="K32" s="12"/>
      <c r="L32" s="12"/>
      <c r="M32" s="12"/>
      <c r="N32" s="12"/>
      <c r="O32" s="12"/>
      <c r="P32" s="12"/>
      <c r="Q32" s="12"/>
    </row>
    <row r="33" spans="1:17" ht="60" customHeight="1" x14ac:dyDescent="0.25">
      <c r="A33" s="9">
        <f>IF(F33="","",ROW()-19-COUNTBLANK($F$20:F33))</f>
        <v>11</v>
      </c>
      <c r="B33" s="4" t="s">
        <v>92</v>
      </c>
      <c r="C33" s="4" t="s">
        <v>93</v>
      </c>
      <c r="D33" s="4"/>
      <c r="E33" s="7" t="s">
        <v>94</v>
      </c>
      <c r="F33" s="7" t="s">
        <v>95</v>
      </c>
      <c r="G33" s="3" t="s">
        <v>73</v>
      </c>
      <c r="H33" s="3"/>
      <c r="I33" s="3"/>
      <c r="J33" s="3"/>
      <c r="K33" s="3"/>
      <c r="L33" s="3"/>
      <c r="M33" s="3"/>
      <c r="N33" s="3"/>
      <c r="O33" s="3"/>
      <c r="P33" s="3"/>
      <c r="Q33" s="3"/>
    </row>
    <row r="34" spans="1:17" ht="60" customHeight="1" x14ac:dyDescent="0.25">
      <c r="A34" s="9">
        <f>IF(F34="","",ROW()-19-COUNTBLANK($F$20:F34))</f>
        <v>12</v>
      </c>
      <c r="B34" s="4" t="s">
        <v>96</v>
      </c>
      <c r="C34" s="4" t="s">
        <v>97</v>
      </c>
      <c r="D34" s="4"/>
      <c r="E34" s="7" t="s">
        <v>98</v>
      </c>
      <c r="F34" s="7" t="s">
        <v>99</v>
      </c>
      <c r="G34" s="3" t="s">
        <v>55</v>
      </c>
      <c r="H34" s="3"/>
      <c r="I34" s="3"/>
      <c r="J34" s="3"/>
      <c r="K34" s="3"/>
      <c r="L34" s="3"/>
      <c r="M34" s="3"/>
      <c r="N34" s="3"/>
      <c r="O34" s="3"/>
      <c r="P34" s="3"/>
      <c r="Q34" s="3"/>
    </row>
    <row r="35" spans="1:17" ht="60" customHeight="1" x14ac:dyDescent="0.25">
      <c r="A35" s="9">
        <f>IF(F35="","",ROW()-19-COUNTBLANK($F$20:F35))</f>
        <v>13</v>
      </c>
      <c r="B35" s="4" t="s">
        <v>100</v>
      </c>
      <c r="C35" s="4" t="s">
        <v>101</v>
      </c>
      <c r="D35" s="4"/>
      <c r="E35" s="7" t="s">
        <v>102</v>
      </c>
      <c r="F35" s="7" t="s">
        <v>103</v>
      </c>
      <c r="G35" s="3" t="s">
        <v>50</v>
      </c>
      <c r="H35" s="3"/>
      <c r="I35" s="3"/>
      <c r="J35" s="3"/>
      <c r="K35" s="3"/>
      <c r="L35" s="3"/>
      <c r="M35" s="3"/>
      <c r="N35" s="3"/>
      <c r="O35" s="3"/>
      <c r="P35" s="3"/>
      <c r="Q35" s="3"/>
    </row>
    <row r="36" spans="1:17" ht="60" customHeight="1" x14ac:dyDescent="0.25">
      <c r="A36" s="9">
        <f>IF(F36="","",ROW()-19-COUNTBLANK($F$20:F36))</f>
        <v>14</v>
      </c>
      <c r="B36" s="4" t="s">
        <v>104</v>
      </c>
      <c r="C36" s="4" t="s">
        <v>105</v>
      </c>
      <c r="D36" s="4" t="s">
        <v>106</v>
      </c>
      <c r="E36" s="7" t="s">
        <v>107</v>
      </c>
      <c r="F36" s="7" t="s">
        <v>108</v>
      </c>
      <c r="G36" s="3" t="s">
        <v>50</v>
      </c>
      <c r="H36" s="3"/>
      <c r="I36" s="3"/>
      <c r="J36" s="3"/>
      <c r="K36" s="3"/>
      <c r="L36" s="3"/>
      <c r="M36" s="3"/>
      <c r="N36" s="3"/>
      <c r="O36" s="3"/>
      <c r="P36" s="3"/>
      <c r="Q36" s="3"/>
    </row>
    <row r="37" spans="1:17" ht="60" customHeight="1" x14ac:dyDescent="0.25">
      <c r="A37" s="9">
        <f>IF(F37="","",ROW()-19-COUNTBLANK($F$20:F37))</f>
        <v>15</v>
      </c>
      <c r="B37" s="4" t="s">
        <v>109</v>
      </c>
      <c r="C37" s="4" t="s">
        <v>110</v>
      </c>
      <c r="D37" s="4"/>
      <c r="E37" s="7" t="s">
        <v>111</v>
      </c>
      <c r="F37" s="7" t="s">
        <v>112</v>
      </c>
      <c r="G37" s="3" t="s">
        <v>55</v>
      </c>
      <c r="H37" s="3"/>
      <c r="I37" s="3"/>
      <c r="J37" s="3"/>
      <c r="K37" s="3"/>
      <c r="L37" s="3"/>
      <c r="M37" s="3"/>
      <c r="N37" s="3"/>
      <c r="O37" s="3"/>
      <c r="P37" s="3"/>
      <c r="Q37" s="3"/>
    </row>
    <row r="38" spans="1:17" ht="20.100000000000001" customHeight="1" x14ac:dyDescent="0.25">
      <c r="A38" s="9" t="str">
        <f>IF(F38="","",ROW()-19-COUNTBLANK($F$20:F38))</f>
        <v/>
      </c>
      <c r="B38" s="12" t="s">
        <v>113</v>
      </c>
      <c r="C38" s="12"/>
      <c r="D38" s="12"/>
      <c r="E38" s="12"/>
      <c r="F38" s="12"/>
      <c r="G38" s="12"/>
      <c r="H38" s="12"/>
      <c r="I38" s="12"/>
      <c r="J38" s="12"/>
      <c r="K38" s="12"/>
      <c r="L38" s="12"/>
      <c r="M38" s="12"/>
      <c r="N38" s="12"/>
      <c r="O38" s="12"/>
      <c r="P38" s="12"/>
      <c r="Q38" s="12"/>
    </row>
    <row r="39" spans="1:17" ht="60" customHeight="1" x14ac:dyDescent="0.25">
      <c r="A39" s="9">
        <f>IF(F39="","",ROW()-19-COUNTBLANK($F$20:F39))</f>
        <v>16</v>
      </c>
      <c r="B39" s="4" t="s">
        <v>114</v>
      </c>
      <c r="C39" s="4" t="s">
        <v>115</v>
      </c>
      <c r="D39" s="4"/>
      <c r="E39" s="7" t="s">
        <v>116</v>
      </c>
      <c r="F39" s="7" t="s">
        <v>117</v>
      </c>
      <c r="G39" s="3" t="s">
        <v>55</v>
      </c>
      <c r="H39" s="3"/>
      <c r="I39" s="3"/>
      <c r="J39" s="3"/>
      <c r="K39" s="3"/>
      <c r="L39" s="3"/>
      <c r="M39" s="3"/>
      <c r="N39" s="3"/>
      <c r="O39" s="3"/>
      <c r="P39" s="3"/>
      <c r="Q39" s="3"/>
    </row>
    <row r="40" spans="1:17" ht="60" customHeight="1" x14ac:dyDescent="0.25">
      <c r="A40" s="9">
        <f>IF(F40="","",ROW()-19-COUNTBLANK($F$20:F40))</f>
        <v>17</v>
      </c>
      <c r="B40" s="4" t="s">
        <v>118</v>
      </c>
      <c r="C40" s="4" t="s">
        <v>119</v>
      </c>
      <c r="D40" s="4"/>
      <c r="E40" s="7" t="s">
        <v>120</v>
      </c>
      <c r="F40" s="7" t="s">
        <v>121</v>
      </c>
      <c r="G40" s="3" t="s">
        <v>55</v>
      </c>
      <c r="H40" s="3"/>
      <c r="I40" s="3"/>
      <c r="J40" s="3"/>
      <c r="K40" s="3"/>
      <c r="L40" s="3"/>
      <c r="M40" s="3"/>
      <c r="N40" s="3"/>
      <c r="O40" s="3"/>
      <c r="P40" s="3"/>
      <c r="Q40" s="3"/>
    </row>
    <row r="41" spans="1:17" ht="60" customHeight="1" x14ac:dyDescent="0.25">
      <c r="A41" s="9">
        <f>IF(F41="","",ROW()-19-COUNTBLANK($F$20:F41))</f>
        <v>18</v>
      </c>
      <c r="B41" s="4" t="s">
        <v>122</v>
      </c>
      <c r="C41" s="4" t="s">
        <v>123</v>
      </c>
      <c r="D41" s="4"/>
      <c r="E41" s="7" t="s">
        <v>124</v>
      </c>
      <c r="F41" s="7" t="s">
        <v>125</v>
      </c>
      <c r="G41" s="3" t="s">
        <v>55</v>
      </c>
      <c r="H41" s="3"/>
      <c r="I41" s="3"/>
      <c r="J41" s="3"/>
      <c r="K41" s="3"/>
      <c r="L41" s="3"/>
      <c r="M41" s="3"/>
      <c r="N41" s="3"/>
      <c r="O41" s="3"/>
      <c r="P41" s="3"/>
      <c r="Q41" s="3"/>
    </row>
    <row r="42" spans="1:17" ht="20.100000000000001" customHeight="1" x14ac:dyDescent="0.25">
      <c r="A42" s="9" t="str">
        <f>IF(F42="","",ROW()-19-COUNTBLANK($F$20:F42))</f>
        <v/>
      </c>
      <c r="B42" s="12" t="s">
        <v>126</v>
      </c>
      <c r="C42" s="12"/>
      <c r="D42" s="12"/>
      <c r="E42" s="12"/>
      <c r="F42" s="12"/>
      <c r="G42" s="12"/>
      <c r="H42" s="12"/>
      <c r="I42" s="12"/>
      <c r="J42" s="12"/>
      <c r="K42" s="12"/>
      <c r="L42" s="12"/>
      <c r="M42" s="12"/>
      <c r="N42" s="12"/>
      <c r="O42" s="12"/>
      <c r="P42" s="12"/>
      <c r="Q42" s="12"/>
    </row>
    <row r="43" spans="1:17" ht="60" customHeight="1" x14ac:dyDescent="0.25">
      <c r="A43" s="9">
        <f>IF(F43="","",ROW()-19-COUNTBLANK($F$20:F43))</f>
        <v>19</v>
      </c>
      <c r="B43" s="4" t="s">
        <v>85</v>
      </c>
      <c r="C43" s="4" t="s">
        <v>85</v>
      </c>
      <c r="D43" s="4"/>
      <c r="E43" s="7" t="s">
        <v>127</v>
      </c>
      <c r="F43" s="7" t="s">
        <v>128</v>
      </c>
      <c r="G43" s="3" t="s">
        <v>73</v>
      </c>
      <c r="H43" s="3"/>
      <c r="I43" s="3"/>
      <c r="J43" s="3"/>
      <c r="K43" s="3"/>
      <c r="L43" s="3"/>
      <c r="M43" s="3"/>
      <c r="N43" s="3"/>
      <c r="O43" s="3"/>
      <c r="P43" s="3"/>
      <c r="Q43" s="3"/>
    </row>
    <row r="44" spans="1:17" ht="60" customHeight="1" x14ac:dyDescent="0.25">
      <c r="A44" s="9">
        <f>IF(F44="","",ROW()-19-COUNTBLANK($F$20:F44))</f>
        <v>20</v>
      </c>
      <c r="B44" s="4" t="s">
        <v>88</v>
      </c>
      <c r="C44" s="4" t="s">
        <v>88</v>
      </c>
      <c r="D44" s="4"/>
      <c r="E44" s="7" t="s">
        <v>129</v>
      </c>
      <c r="F44" s="7" t="s">
        <v>130</v>
      </c>
      <c r="G44" s="3" t="s">
        <v>73</v>
      </c>
      <c r="H44" s="3"/>
      <c r="I44" s="3"/>
      <c r="J44" s="3"/>
      <c r="K44" s="3"/>
      <c r="L44" s="3"/>
      <c r="M44" s="3"/>
      <c r="N44" s="3"/>
      <c r="O44" s="3"/>
      <c r="P44" s="3"/>
      <c r="Q44" s="3"/>
    </row>
    <row r="45" spans="1:17" ht="20.100000000000001" customHeight="1" x14ac:dyDescent="0.25">
      <c r="A45" s="9" t="str">
        <f>IF(F45="","",ROW()-19-COUNTBLANK($F$20:F45))</f>
        <v/>
      </c>
      <c r="B45" s="12" t="s">
        <v>131</v>
      </c>
      <c r="C45" s="12"/>
      <c r="D45" s="12"/>
      <c r="E45" s="12"/>
      <c r="F45" s="12"/>
      <c r="G45" s="12"/>
      <c r="H45" s="12"/>
      <c r="I45" s="12"/>
      <c r="J45" s="12"/>
      <c r="K45" s="12"/>
      <c r="L45" s="12"/>
      <c r="M45" s="12"/>
      <c r="N45" s="12"/>
      <c r="O45" s="12"/>
      <c r="P45" s="12"/>
      <c r="Q45" s="12"/>
    </row>
    <row r="46" spans="1:17" ht="60" customHeight="1" x14ac:dyDescent="0.25">
      <c r="A46" s="9">
        <f>IF(F46="","",ROW()-19-COUNTBLANK($F$20:F46))</f>
        <v>21</v>
      </c>
      <c r="B46" s="4" t="s">
        <v>132</v>
      </c>
      <c r="C46" s="4" t="s">
        <v>132</v>
      </c>
      <c r="D46" s="4"/>
      <c r="E46" s="7" t="s">
        <v>133</v>
      </c>
      <c r="F46" s="7" t="s">
        <v>134</v>
      </c>
      <c r="G46" s="3" t="s">
        <v>55</v>
      </c>
      <c r="H46" s="3"/>
      <c r="I46" s="3"/>
      <c r="J46" s="3"/>
      <c r="K46" s="3"/>
      <c r="L46" s="3"/>
      <c r="M46" s="3"/>
      <c r="N46" s="3"/>
      <c r="O46" s="3"/>
      <c r="P46" s="3"/>
      <c r="Q46" s="3"/>
    </row>
    <row r="47" spans="1:17" ht="60" customHeight="1" x14ac:dyDescent="0.25">
      <c r="A47" s="9">
        <f>IF(F47="","",ROW()-19-COUNTBLANK($F$20:F47))</f>
        <v>22</v>
      </c>
      <c r="B47" s="4" t="s">
        <v>135</v>
      </c>
      <c r="C47" s="4" t="s">
        <v>135</v>
      </c>
      <c r="D47" s="4"/>
      <c r="E47" s="7" t="s">
        <v>136</v>
      </c>
      <c r="F47" s="7" t="s">
        <v>137</v>
      </c>
      <c r="G47" s="3" t="s">
        <v>55</v>
      </c>
      <c r="H47" s="3"/>
      <c r="I47" s="3"/>
      <c r="J47" s="3"/>
      <c r="K47" s="3"/>
      <c r="L47" s="3"/>
      <c r="M47" s="3"/>
      <c r="N47" s="3"/>
      <c r="O47" s="3"/>
      <c r="P47" s="3"/>
      <c r="Q47" s="3"/>
    </row>
    <row r="48" spans="1:17" ht="60" customHeight="1" x14ac:dyDescent="0.25">
      <c r="A48" s="9">
        <f>IF(F48="","",ROW()-19-COUNTBLANK($F$20:F48))</f>
        <v>23</v>
      </c>
      <c r="B48" s="17" t="s">
        <v>138</v>
      </c>
      <c r="C48" s="17" t="s">
        <v>139</v>
      </c>
      <c r="D48" s="4" t="s">
        <v>140</v>
      </c>
      <c r="E48" s="7" t="s">
        <v>141</v>
      </c>
      <c r="F48" s="7" t="s">
        <v>142</v>
      </c>
      <c r="G48" s="3" t="s">
        <v>55</v>
      </c>
      <c r="H48" s="3"/>
      <c r="I48" s="3"/>
      <c r="J48" s="3"/>
      <c r="K48" s="3"/>
      <c r="L48" s="3"/>
      <c r="M48" s="3"/>
      <c r="N48" s="3"/>
      <c r="O48" s="3"/>
      <c r="P48" s="3"/>
      <c r="Q48" s="3"/>
    </row>
    <row r="49" spans="1:17" ht="60" customHeight="1" x14ac:dyDescent="0.25">
      <c r="A49" s="9">
        <f>IF(F49="","",ROW()-19-COUNTBLANK($F$20:F49))</f>
        <v>24</v>
      </c>
      <c r="B49" s="18"/>
      <c r="C49" s="19"/>
      <c r="D49" s="4" t="s">
        <v>143</v>
      </c>
      <c r="E49" s="7" t="s">
        <v>144</v>
      </c>
      <c r="F49" s="7" t="s">
        <v>145</v>
      </c>
      <c r="G49" s="3" t="s">
        <v>55</v>
      </c>
      <c r="H49" s="3"/>
      <c r="I49" s="3"/>
      <c r="J49" s="3"/>
      <c r="K49" s="3"/>
      <c r="L49" s="3"/>
      <c r="M49" s="3"/>
      <c r="N49" s="3"/>
      <c r="O49" s="3"/>
      <c r="P49" s="3"/>
      <c r="Q49" s="3"/>
    </row>
    <row r="50" spans="1:17" ht="60" customHeight="1" x14ac:dyDescent="0.25">
      <c r="A50" s="9">
        <f>IF(F50="","",ROW()-19-COUNTBLANK($F$20:F50))</f>
        <v>25</v>
      </c>
      <c r="B50" s="19"/>
      <c r="C50" s="4" t="s">
        <v>146</v>
      </c>
      <c r="D50" s="4" t="s">
        <v>147</v>
      </c>
      <c r="E50" s="7" t="s">
        <v>148</v>
      </c>
      <c r="F50" s="7" t="s">
        <v>149</v>
      </c>
      <c r="G50" s="3" t="s">
        <v>55</v>
      </c>
      <c r="H50" s="3"/>
      <c r="I50" s="3"/>
      <c r="J50" s="3"/>
      <c r="K50" s="3"/>
      <c r="L50" s="3"/>
      <c r="M50" s="3"/>
      <c r="N50" s="3"/>
      <c r="O50" s="3"/>
      <c r="P50" s="3"/>
      <c r="Q50" s="3"/>
    </row>
    <row r="51" spans="1:17" ht="60" customHeight="1" x14ac:dyDescent="0.25">
      <c r="A51" s="9">
        <f>IF(F51="","",ROW()-19-COUNTBLANK($F$20:F51))</f>
        <v>26</v>
      </c>
      <c r="B51" s="17" t="s">
        <v>150</v>
      </c>
      <c r="C51" s="17" t="s">
        <v>151</v>
      </c>
      <c r="D51" s="4" t="s">
        <v>152</v>
      </c>
      <c r="E51" s="7" t="s">
        <v>153</v>
      </c>
      <c r="F51" s="7" t="s">
        <v>154</v>
      </c>
      <c r="G51" s="3" t="s">
        <v>55</v>
      </c>
      <c r="H51" s="3"/>
      <c r="I51" s="3"/>
      <c r="J51" s="3"/>
      <c r="K51" s="3"/>
      <c r="L51" s="3"/>
      <c r="M51" s="3"/>
      <c r="N51" s="3"/>
      <c r="O51" s="3"/>
      <c r="P51" s="3"/>
      <c r="Q51" s="3"/>
    </row>
    <row r="52" spans="1:17" ht="60" customHeight="1" x14ac:dyDescent="0.25">
      <c r="A52" s="9">
        <f>IF(F52="","",ROW()-19-COUNTBLANK($F$20:F52))</f>
        <v>27</v>
      </c>
      <c r="B52" s="18"/>
      <c r="C52" s="18"/>
      <c r="D52" s="4" t="s">
        <v>155</v>
      </c>
      <c r="E52" s="7" t="s">
        <v>156</v>
      </c>
      <c r="F52" s="7" t="s">
        <v>154</v>
      </c>
      <c r="G52" s="3" t="s">
        <v>55</v>
      </c>
      <c r="H52" s="3"/>
      <c r="I52" s="3"/>
      <c r="J52" s="3"/>
      <c r="K52" s="3"/>
      <c r="L52" s="3"/>
      <c r="M52" s="3"/>
      <c r="N52" s="3"/>
      <c r="O52" s="3"/>
      <c r="P52" s="3"/>
      <c r="Q52" s="3"/>
    </row>
    <row r="53" spans="1:17" ht="60" customHeight="1" x14ac:dyDescent="0.25">
      <c r="A53" s="9">
        <f>IF(F53="","",ROW()-19-COUNTBLANK($F$20:F53))</f>
        <v>28</v>
      </c>
      <c r="B53" s="18"/>
      <c r="C53" s="18"/>
      <c r="D53" s="4" t="s">
        <v>157</v>
      </c>
      <c r="E53" s="7" t="s">
        <v>158</v>
      </c>
      <c r="F53" s="7" t="s">
        <v>159</v>
      </c>
      <c r="G53" s="3" t="s">
        <v>55</v>
      </c>
      <c r="H53" s="3"/>
      <c r="I53" s="3"/>
      <c r="J53" s="3"/>
      <c r="K53" s="3"/>
      <c r="L53" s="3"/>
      <c r="M53" s="3"/>
      <c r="N53" s="3"/>
      <c r="O53" s="3"/>
      <c r="P53" s="3"/>
      <c r="Q53" s="3"/>
    </row>
    <row r="54" spans="1:17" ht="60" customHeight="1" x14ac:dyDescent="0.25">
      <c r="A54" s="9">
        <f>IF(F54="","",ROW()-19-COUNTBLANK($F$20:F54))</f>
        <v>29</v>
      </c>
      <c r="B54" s="18"/>
      <c r="C54" s="19"/>
      <c r="D54" s="4" t="s">
        <v>160</v>
      </c>
      <c r="E54" s="7" t="s">
        <v>161</v>
      </c>
      <c r="F54" s="7" t="s">
        <v>159</v>
      </c>
      <c r="G54" s="3" t="s">
        <v>55</v>
      </c>
      <c r="H54" s="3"/>
      <c r="I54" s="3"/>
      <c r="J54" s="3"/>
      <c r="K54" s="3"/>
      <c r="L54" s="3"/>
      <c r="M54" s="3"/>
      <c r="N54" s="3"/>
      <c r="O54" s="3"/>
      <c r="P54" s="3"/>
      <c r="Q54" s="3"/>
    </row>
    <row r="55" spans="1:17" ht="60" customHeight="1" x14ac:dyDescent="0.25">
      <c r="A55" s="9">
        <f>IF(F55="","",ROW()-19-COUNTBLANK($F$20:F55))</f>
        <v>30</v>
      </c>
      <c r="B55" s="18"/>
      <c r="C55" s="17" t="s">
        <v>162</v>
      </c>
      <c r="D55" s="4" t="s">
        <v>163</v>
      </c>
      <c r="E55" s="7" t="s">
        <v>164</v>
      </c>
      <c r="F55" s="7" t="s">
        <v>159</v>
      </c>
      <c r="G55" s="3" t="s">
        <v>55</v>
      </c>
      <c r="H55" s="3"/>
      <c r="I55" s="3"/>
      <c r="J55" s="3"/>
      <c r="K55" s="3"/>
      <c r="L55" s="3"/>
      <c r="M55" s="3"/>
      <c r="N55" s="3"/>
      <c r="O55" s="3"/>
      <c r="P55" s="3"/>
      <c r="Q55" s="3"/>
    </row>
    <row r="56" spans="1:17" ht="60" customHeight="1" x14ac:dyDescent="0.25">
      <c r="A56" s="9">
        <f>IF(F56="","",ROW()-19-COUNTBLANK($F$20:F56))</f>
        <v>31</v>
      </c>
      <c r="B56" s="18"/>
      <c r="C56" s="18"/>
      <c r="D56" s="4" t="s">
        <v>165</v>
      </c>
      <c r="E56" s="7" t="s">
        <v>166</v>
      </c>
      <c r="F56" s="7" t="s">
        <v>159</v>
      </c>
      <c r="G56" s="3" t="s">
        <v>55</v>
      </c>
      <c r="H56" s="3"/>
      <c r="I56" s="3"/>
      <c r="J56" s="3"/>
      <c r="K56" s="3"/>
      <c r="L56" s="3"/>
      <c r="M56" s="3"/>
      <c r="N56" s="3"/>
      <c r="O56" s="3"/>
      <c r="P56" s="3"/>
      <c r="Q56" s="3"/>
    </row>
    <row r="57" spans="1:17" ht="60" customHeight="1" x14ac:dyDescent="0.25">
      <c r="A57" s="9">
        <f>IF(F57="","",ROW()-19-COUNTBLANK($F$20:F57))</f>
        <v>32</v>
      </c>
      <c r="B57" s="18"/>
      <c r="C57" s="19"/>
      <c r="D57" s="4" t="s">
        <v>167</v>
      </c>
      <c r="E57" s="7" t="s">
        <v>168</v>
      </c>
      <c r="F57" s="7" t="s">
        <v>169</v>
      </c>
      <c r="G57" s="3" t="s">
        <v>55</v>
      </c>
      <c r="H57" s="3"/>
      <c r="I57" s="3"/>
      <c r="J57" s="3"/>
      <c r="K57" s="3"/>
      <c r="L57" s="3"/>
      <c r="M57" s="3"/>
      <c r="N57" s="3"/>
      <c r="O57" s="3"/>
      <c r="P57" s="3"/>
      <c r="Q57" s="3"/>
    </row>
    <row r="58" spans="1:17" ht="60" customHeight="1" x14ac:dyDescent="0.25">
      <c r="A58" s="9">
        <f>IF(F58="","",ROW()-19-COUNTBLANK($F$20:F58))</f>
        <v>33</v>
      </c>
      <c r="B58" s="18"/>
      <c r="C58" s="4" t="s">
        <v>170</v>
      </c>
      <c r="D58" s="4" t="s">
        <v>171</v>
      </c>
      <c r="E58" s="7" t="s">
        <v>172</v>
      </c>
      <c r="F58" s="7" t="s">
        <v>159</v>
      </c>
      <c r="G58" s="3" t="s">
        <v>73</v>
      </c>
      <c r="H58" s="3"/>
      <c r="I58" s="3"/>
      <c r="J58" s="3"/>
      <c r="K58" s="3"/>
      <c r="L58" s="3"/>
      <c r="M58" s="3"/>
      <c r="N58" s="3"/>
      <c r="O58" s="3"/>
      <c r="P58" s="3"/>
      <c r="Q58" s="3"/>
    </row>
    <row r="59" spans="1:17" ht="60" customHeight="1" x14ac:dyDescent="0.25">
      <c r="A59" s="9">
        <f>IF(F59="","",ROW()-19-COUNTBLANK($F$20:F59))</f>
        <v>34</v>
      </c>
      <c r="B59" s="18"/>
      <c r="C59" s="4" t="s">
        <v>173</v>
      </c>
      <c r="D59" s="4" t="s">
        <v>174</v>
      </c>
      <c r="E59" s="7" t="s">
        <v>175</v>
      </c>
      <c r="F59" s="7" t="s">
        <v>159</v>
      </c>
      <c r="G59" s="3" t="s">
        <v>73</v>
      </c>
      <c r="H59" s="3"/>
      <c r="I59" s="3"/>
      <c r="J59" s="3"/>
      <c r="K59" s="3"/>
      <c r="L59" s="3"/>
      <c r="M59" s="3"/>
      <c r="N59" s="3"/>
      <c r="O59" s="3"/>
      <c r="P59" s="3"/>
      <c r="Q59" s="3"/>
    </row>
    <row r="60" spans="1:17" ht="60" customHeight="1" x14ac:dyDescent="0.25">
      <c r="A60" s="9">
        <f>IF(F60="","",ROW()-19-COUNTBLANK($F$20:F60))</f>
        <v>35</v>
      </c>
      <c r="B60" s="18"/>
      <c r="C60" s="4" t="s">
        <v>176</v>
      </c>
      <c r="D60" s="4" t="s">
        <v>177</v>
      </c>
      <c r="E60" s="7" t="s">
        <v>178</v>
      </c>
      <c r="F60" s="7" t="s">
        <v>179</v>
      </c>
      <c r="G60" s="3" t="s">
        <v>73</v>
      </c>
      <c r="H60" s="3"/>
      <c r="I60" s="3"/>
      <c r="J60" s="3"/>
      <c r="K60" s="3"/>
      <c r="L60" s="3"/>
      <c r="M60" s="3"/>
      <c r="N60" s="3"/>
      <c r="O60" s="3"/>
      <c r="P60" s="3"/>
      <c r="Q60" s="3"/>
    </row>
    <row r="61" spans="1:17" ht="60" customHeight="1" x14ac:dyDescent="0.25">
      <c r="A61" s="9">
        <f>IF(F61="","",ROW()-19-COUNTBLANK($F$20:F61))</f>
        <v>36</v>
      </c>
      <c r="B61" s="18"/>
      <c r="C61" s="4" t="s">
        <v>180</v>
      </c>
      <c r="D61" s="4" t="s">
        <v>181</v>
      </c>
      <c r="E61" s="7" t="s">
        <v>182</v>
      </c>
      <c r="F61" s="7" t="s">
        <v>179</v>
      </c>
      <c r="G61" s="3" t="s">
        <v>73</v>
      </c>
      <c r="H61" s="3"/>
      <c r="I61" s="3"/>
      <c r="J61" s="3"/>
      <c r="K61" s="3"/>
      <c r="L61" s="3"/>
      <c r="M61" s="3"/>
      <c r="N61" s="3"/>
      <c r="O61" s="3"/>
      <c r="P61" s="3"/>
      <c r="Q61" s="3"/>
    </row>
    <row r="62" spans="1:17" ht="60" customHeight="1" x14ac:dyDescent="0.25">
      <c r="A62" s="9">
        <f>IF(F62="","",ROW()-19-COUNTBLANK($F$20:F62))</f>
        <v>37</v>
      </c>
      <c r="B62" s="19"/>
      <c r="C62" s="4" t="s">
        <v>183</v>
      </c>
      <c r="D62" s="4" t="s">
        <v>184</v>
      </c>
      <c r="E62" s="7" t="s">
        <v>185</v>
      </c>
      <c r="F62" s="7" t="s">
        <v>159</v>
      </c>
      <c r="G62" s="3" t="s">
        <v>73</v>
      </c>
      <c r="H62" s="3"/>
      <c r="I62" s="3"/>
      <c r="J62" s="3"/>
      <c r="K62" s="3"/>
      <c r="L62" s="3"/>
      <c r="M62" s="3"/>
      <c r="N62" s="3"/>
      <c r="O62" s="3"/>
      <c r="P62" s="3"/>
      <c r="Q62" s="3"/>
    </row>
    <row r="63" spans="1:17" ht="60" customHeight="1" x14ac:dyDescent="0.25">
      <c r="A63" s="9">
        <f>IF(F63="","",ROW()-19-COUNTBLANK($F$20:F63))</f>
        <v>38</v>
      </c>
      <c r="B63" s="17" t="s">
        <v>186</v>
      </c>
      <c r="C63" s="17" t="s">
        <v>187</v>
      </c>
      <c r="D63" s="4" t="s">
        <v>188</v>
      </c>
      <c r="E63" s="7" t="s">
        <v>189</v>
      </c>
      <c r="F63" s="7" t="s">
        <v>190</v>
      </c>
      <c r="G63" s="3" t="s">
        <v>55</v>
      </c>
      <c r="H63" s="3"/>
      <c r="I63" s="3"/>
      <c r="J63" s="3"/>
      <c r="K63" s="3"/>
      <c r="L63" s="3"/>
      <c r="M63" s="3"/>
      <c r="N63" s="3"/>
      <c r="O63" s="3"/>
      <c r="P63" s="3"/>
      <c r="Q63" s="3"/>
    </row>
    <row r="64" spans="1:17" ht="60" customHeight="1" x14ac:dyDescent="0.25">
      <c r="A64" s="9">
        <f>IF(F64="","",ROW()-19-COUNTBLANK($F$20:F64))</f>
        <v>39</v>
      </c>
      <c r="B64" s="18"/>
      <c r="C64" s="18"/>
      <c r="D64" s="4" t="s">
        <v>191</v>
      </c>
      <c r="E64" s="7" t="s">
        <v>192</v>
      </c>
      <c r="F64" s="7" t="s">
        <v>190</v>
      </c>
      <c r="G64" s="3" t="s">
        <v>55</v>
      </c>
      <c r="H64" s="3"/>
      <c r="I64" s="3"/>
      <c r="J64" s="3"/>
      <c r="K64" s="3"/>
      <c r="L64" s="3"/>
      <c r="M64" s="3"/>
      <c r="N64" s="3"/>
      <c r="O64" s="3"/>
      <c r="P64" s="3"/>
      <c r="Q64" s="3"/>
    </row>
    <row r="65" spans="1:17" ht="60" customHeight="1" x14ac:dyDescent="0.25">
      <c r="A65" s="9">
        <f>IF(F65="","",ROW()-19-COUNTBLANK($F$20:F65))</f>
        <v>40</v>
      </c>
      <c r="B65" s="18"/>
      <c r="C65" s="18"/>
      <c r="D65" s="4" t="s">
        <v>193</v>
      </c>
      <c r="E65" s="7" t="s">
        <v>194</v>
      </c>
      <c r="F65" s="7" t="s">
        <v>195</v>
      </c>
      <c r="G65" s="3" t="s">
        <v>55</v>
      </c>
      <c r="H65" s="3"/>
      <c r="I65" s="3"/>
      <c r="J65" s="3"/>
      <c r="K65" s="3"/>
      <c r="L65" s="3"/>
      <c r="M65" s="3"/>
      <c r="N65" s="3"/>
      <c r="O65" s="3"/>
      <c r="P65" s="3"/>
      <c r="Q65" s="3"/>
    </row>
    <row r="66" spans="1:17" ht="60" customHeight="1" x14ac:dyDescent="0.25">
      <c r="A66" s="9">
        <f>IF(F66="","",ROW()-19-COUNTBLANK($F$20:F66))</f>
        <v>41</v>
      </c>
      <c r="B66" s="18"/>
      <c r="C66" s="19"/>
      <c r="D66" s="4" t="s">
        <v>196</v>
      </c>
      <c r="E66" s="7" t="s">
        <v>197</v>
      </c>
      <c r="F66" s="7" t="s">
        <v>195</v>
      </c>
      <c r="G66" s="3" t="s">
        <v>55</v>
      </c>
      <c r="H66" s="3"/>
      <c r="I66" s="3"/>
      <c r="J66" s="3"/>
      <c r="K66" s="3"/>
      <c r="L66" s="3"/>
      <c r="M66" s="3"/>
      <c r="N66" s="3"/>
      <c r="O66" s="3"/>
      <c r="P66" s="3"/>
      <c r="Q66" s="3"/>
    </row>
    <row r="67" spans="1:17" ht="60" customHeight="1" x14ac:dyDescent="0.25">
      <c r="A67" s="9">
        <f>IF(F67="","",ROW()-19-COUNTBLANK($F$20:F67))</f>
        <v>42</v>
      </c>
      <c r="B67" s="18"/>
      <c r="C67" s="17" t="s">
        <v>198</v>
      </c>
      <c r="D67" s="4" t="s">
        <v>199</v>
      </c>
      <c r="E67" s="7" t="s">
        <v>200</v>
      </c>
      <c r="F67" s="7" t="s">
        <v>195</v>
      </c>
      <c r="G67" s="3" t="s">
        <v>55</v>
      </c>
      <c r="H67" s="3"/>
      <c r="I67" s="3"/>
      <c r="J67" s="3"/>
      <c r="K67" s="3"/>
      <c r="L67" s="3"/>
      <c r="M67" s="3"/>
      <c r="N67" s="3"/>
      <c r="O67" s="3"/>
      <c r="P67" s="3"/>
      <c r="Q67" s="3"/>
    </row>
    <row r="68" spans="1:17" ht="60" customHeight="1" x14ac:dyDescent="0.25">
      <c r="A68" s="9">
        <f>IF(F68="","",ROW()-19-COUNTBLANK($F$20:F68))</f>
        <v>43</v>
      </c>
      <c r="B68" s="18"/>
      <c r="C68" s="19"/>
      <c r="D68" s="4" t="s">
        <v>201</v>
      </c>
      <c r="E68" s="7" t="s">
        <v>202</v>
      </c>
      <c r="F68" s="7" t="s">
        <v>203</v>
      </c>
      <c r="G68" s="3" t="s">
        <v>55</v>
      </c>
      <c r="H68" s="3"/>
      <c r="I68" s="3"/>
      <c r="J68" s="3"/>
      <c r="K68" s="3"/>
      <c r="L68" s="3"/>
      <c r="M68" s="3"/>
      <c r="N68" s="3"/>
      <c r="O68" s="3"/>
      <c r="P68" s="3"/>
      <c r="Q68" s="3"/>
    </row>
    <row r="69" spans="1:17" ht="60" customHeight="1" x14ac:dyDescent="0.25">
      <c r="A69" s="9">
        <f>IF(F69="","",ROW()-19-COUNTBLANK($F$20:F69))</f>
        <v>44</v>
      </c>
      <c r="B69" s="18"/>
      <c r="C69" s="4" t="s">
        <v>204</v>
      </c>
      <c r="D69" s="4" t="s">
        <v>171</v>
      </c>
      <c r="E69" s="7" t="s">
        <v>205</v>
      </c>
      <c r="F69" s="7" t="s">
        <v>195</v>
      </c>
      <c r="G69" s="3" t="s">
        <v>73</v>
      </c>
      <c r="H69" s="3"/>
      <c r="I69" s="3"/>
      <c r="J69" s="3"/>
      <c r="K69" s="3"/>
      <c r="L69" s="3"/>
      <c r="M69" s="3"/>
      <c r="N69" s="3"/>
      <c r="O69" s="3"/>
      <c r="P69" s="3"/>
      <c r="Q69" s="3"/>
    </row>
    <row r="70" spans="1:17" ht="60" customHeight="1" x14ac:dyDescent="0.25">
      <c r="A70" s="9">
        <f>IF(F70="","",ROW()-19-COUNTBLANK($F$20:F70))</f>
        <v>45</v>
      </c>
      <c r="B70" s="18"/>
      <c r="C70" s="4" t="s">
        <v>206</v>
      </c>
      <c r="D70" s="4" t="s">
        <v>174</v>
      </c>
      <c r="E70" s="7" t="s">
        <v>207</v>
      </c>
      <c r="F70" s="7" t="s">
        <v>195</v>
      </c>
      <c r="G70" s="3" t="s">
        <v>73</v>
      </c>
      <c r="H70" s="3"/>
      <c r="I70" s="3"/>
      <c r="J70" s="3"/>
      <c r="K70" s="3"/>
      <c r="L70" s="3"/>
      <c r="M70" s="3"/>
      <c r="N70" s="3"/>
      <c r="O70" s="3"/>
      <c r="P70" s="3"/>
      <c r="Q70" s="3"/>
    </row>
    <row r="71" spans="1:17" ht="60" customHeight="1" x14ac:dyDescent="0.25">
      <c r="A71" s="9">
        <f>IF(F71="","",ROW()-19-COUNTBLANK($F$20:F71))</f>
        <v>46</v>
      </c>
      <c r="B71" s="18"/>
      <c r="C71" s="4" t="s">
        <v>208</v>
      </c>
      <c r="D71" s="4" t="s">
        <v>177</v>
      </c>
      <c r="E71" s="7" t="s">
        <v>209</v>
      </c>
      <c r="F71" s="7" t="s">
        <v>195</v>
      </c>
      <c r="G71" s="3" t="s">
        <v>73</v>
      </c>
      <c r="H71" s="3"/>
      <c r="I71" s="3"/>
      <c r="J71" s="3"/>
      <c r="K71" s="3"/>
      <c r="L71" s="3"/>
      <c r="M71" s="3"/>
      <c r="N71" s="3"/>
      <c r="O71" s="3"/>
      <c r="P71" s="3"/>
      <c r="Q71" s="3"/>
    </row>
    <row r="72" spans="1:17" ht="60" customHeight="1" x14ac:dyDescent="0.25">
      <c r="A72" s="9">
        <f>IF(F72="","",ROW()-19-COUNTBLANK($F$20:F72))</f>
        <v>47</v>
      </c>
      <c r="B72" s="18"/>
      <c r="C72" s="4" t="s">
        <v>210</v>
      </c>
      <c r="D72" s="4" t="s">
        <v>181</v>
      </c>
      <c r="E72" s="7" t="s">
        <v>211</v>
      </c>
      <c r="F72" s="7" t="s">
        <v>195</v>
      </c>
      <c r="G72" s="3" t="s">
        <v>73</v>
      </c>
      <c r="H72" s="3"/>
      <c r="I72" s="3"/>
      <c r="J72" s="3"/>
      <c r="K72" s="3"/>
      <c r="L72" s="3"/>
      <c r="M72" s="3"/>
      <c r="N72" s="3"/>
      <c r="O72" s="3"/>
      <c r="P72" s="3"/>
      <c r="Q72" s="3"/>
    </row>
    <row r="73" spans="1:17" ht="60" customHeight="1" x14ac:dyDescent="0.25">
      <c r="A73" s="9">
        <f>IF(F73="","",ROW()-19-COUNTBLANK($F$20:F73))</f>
        <v>48</v>
      </c>
      <c r="B73" s="19"/>
      <c r="C73" s="4" t="s">
        <v>212</v>
      </c>
      <c r="D73" s="4" t="s">
        <v>184</v>
      </c>
      <c r="E73" s="7" t="s">
        <v>213</v>
      </c>
      <c r="F73" s="7" t="s">
        <v>195</v>
      </c>
      <c r="G73" s="3" t="s">
        <v>73</v>
      </c>
      <c r="H73" s="3"/>
      <c r="I73" s="3"/>
      <c r="J73" s="3"/>
      <c r="K73" s="3"/>
      <c r="L73" s="3"/>
      <c r="M73" s="3"/>
      <c r="N73" s="3"/>
      <c r="O73" s="3"/>
      <c r="P73" s="3"/>
      <c r="Q73" s="3"/>
    </row>
    <row r="74" spans="1:17" ht="20.100000000000001" customHeight="1" x14ac:dyDescent="0.25">
      <c r="A74" s="9" t="str">
        <f>IF(F74="","",ROW()-19-COUNTBLANK($F$20:F74))</f>
        <v/>
      </c>
      <c r="B74" s="12" t="s">
        <v>214</v>
      </c>
      <c r="C74" s="12"/>
      <c r="D74" s="12"/>
      <c r="E74" s="12"/>
      <c r="F74" s="12"/>
      <c r="G74" s="12"/>
      <c r="H74" s="12"/>
      <c r="I74" s="12"/>
      <c r="J74" s="12"/>
      <c r="K74" s="12"/>
      <c r="L74" s="12"/>
      <c r="M74" s="12"/>
      <c r="N74" s="12"/>
      <c r="O74" s="12"/>
      <c r="P74" s="12"/>
      <c r="Q74" s="12"/>
    </row>
    <row r="75" spans="1:17" ht="60" customHeight="1" x14ac:dyDescent="0.25">
      <c r="A75" s="9">
        <f>IF(F75="","",ROW()-19-COUNTBLANK($F$20:F75))</f>
        <v>49</v>
      </c>
      <c r="B75" s="4" t="s">
        <v>215</v>
      </c>
      <c r="C75" s="4" t="s">
        <v>216</v>
      </c>
      <c r="D75" s="4"/>
      <c r="E75" s="7" t="s">
        <v>217</v>
      </c>
      <c r="F75" s="7" t="s">
        <v>218</v>
      </c>
      <c r="G75" s="3" t="s">
        <v>55</v>
      </c>
      <c r="H75" s="3"/>
      <c r="I75" s="3"/>
      <c r="J75" s="3"/>
      <c r="K75" s="3"/>
      <c r="L75" s="3"/>
      <c r="M75" s="3"/>
      <c r="N75" s="3"/>
      <c r="O75" s="3"/>
      <c r="P75" s="3"/>
      <c r="Q75" s="3"/>
    </row>
    <row r="76" spans="1:17" ht="60" customHeight="1" x14ac:dyDescent="0.25">
      <c r="A76" s="9">
        <f>IF(F76="","",ROW()-19-COUNTBLANK($F$20:F76))</f>
        <v>50</v>
      </c>
      <c r="B76" s="4" t="s">
        <v>219</v>
      </c>
      <c r="C76" s="4" t="s">
        <v>132</v>
      </c>
      <c r="D76" s="4"/>
      <c r="E76" s="7" t="s">
        <v>220</v>
      </c>
      <c r="F76" s="7" t="s">
        <v>221</v>
      </c>
      <c r="G76" s="3" t="s">
        <v>50</v>
      </c>
      <c r="H76" s="3"/>
      <c r="I76" s="3"/>
      <c r="J76" s="3"/>
      <c r="K76" s="3"/>
      <c r="L76" s="3"/>
      <c r="M76" s="3"/>
      <c r="N76" s="3"/>
      <c r="O76" s="3"/>
      <c r="P76" s="3"/>
      <c r="Q76" s="3"/>
    </row>
    <row r="77" spans="1:17" ht="60" customHeight="1" x14ac:dyDescent="0.25">
      <c r="A77" s="9">
        <f>IF(F77="","",ROW()-19-COUNTBLANK($F$20:F77))</f>
        <v>51</v>
      </c>
      <c r="B77" s="17" t="s">
        <v>222</v>
      </c>
      <c r="C77" s="4" t="s">
        <v>1</v>
      </c>
      <c r="D77" s="4"/>
      <c r="E77" s="7" t="s">
        <v>223</v>
      </c>
      <c r="F77" s="7" t="s">
        <v>224</v>
      </c>
      <c r="G77" s="3" t="s">
        <v>55</v>
      </c>
      <c r="H77" s="3"/>
      <c r="I77" s="3"/>
      <c r="J77" s="3"/>
      <c r="K77" s="3"/>
      <c r="L77" s="3"/>
      <c r="M77" s="3"/>
      <c r="N77" s="3"/>
      <c r="O77" s="3"/>
      <c r="P77" s="3"/>
      <c r="Q77" s="3"/>
    </row>
    <row r="78" spans="1:17" ht="60" customHeight="1" x14ac:dyDescent="0.25">
      <c r="A78" s="9">
        <f>IF(F78="","",ROW()-19-COUNTBLANK($F$20:F78))</f>
        <v>52</v>
      </c>
      <c r="B78" s="18"/>
      <c r="C78" s="4" t="s">
        <v>225</v>
      </c>
      <c r="D78" s="4"/>
      <c r="E78" s="7" t="s">
        <v>226</v>
      </c>
      <c r="F78" s="7" t="s">
        <v>227</v>
      </c>
      <c r="G78" s="3" t="s">
        <v>50</v>
      </c>
      <c r="H78" s="3"/>
      <c r="I78" s="3"/>
      <c r="J78" s="3"/>
      <c r="K78" s="3"/>
      <c r="L78" s="3"/>
      <c r="M78" s="3"/>
      <c r="N78" s="3"/>
      <c r="O78" s="3"/>
      <c r="P78" s="3"/>
      <c r="Q78" s="3"/>
    </row>
    <row r="79" spans="1:17" ht="60" customHeight="1" x14ac:dyDescent="0.25">
      <c r="A79" s="9">
        <f>IF(F79="","",ROW()-19-COUNTBLANK($F$20:F79))</f>
        <v>53</v>
      </c>
      <c r="B79" s="18"/>
      <c r="C79" s="4" t="s">
        <v>228</v>
      </c>
      <c r="D79" s="4"/>
      <c r="E79" s="7" t="s">
        <v>229</v>
      </c>
      <c r="F79" s="7" t="s">
        <v>230</v>
      </c>
      <c r="G79" s="3" t="s">
        <v>55</v>
      </c>
      <c r="H79" s="3"/>
      <c r="I79" s="3"/>
      <c r="J79" s="3"/>
      <c r="K79" s="3"/>
      <c r="L79" s="3"/>
      <c r="M79" s="3"/>
      <c r="N79" s="3"/>
      <c r="O79" s="3"/>
      <c r="P79" s="3"/>
      <c r="Q79" s="3"/>
    </row>
    <row r="80" spans="1:17" ht="60" customHeight="1" x14ac:dyDescent="0.25">
      <c r="A80" s="9">
        <f>IF(F80="","",ROW()-19-COUNTBLANK($F$20:F80))</f>
        <v>54</v>
      </c>
      <c r="B80" s="18"/>
      <c r="C80" s="4" t="s">
        <v>231</v>
      </c>
      <c r="D80" s="4"/>
      <c r="E80" s="7" t="s">
        <v>232</v>
      </c>
      <c r="F80" s="7" t="s">
        <v>230</v>
      </c>
      <c r="G80" s="3" t="s">
        <v>55</v>
      </c>
      <c r="H80" s="3"/>
      <c r="I80" s="3"/>
      <c r="J80" s="3"/>
      <c r="K80" s="3"/>
      <c r="L80" s="3"/>
      <c r="M80" s="3"/>
      <c r="N80" s="3"/>
      <c r="O80" s="3"/>
      <c r="P80" s="3"/>
      <c r="Q80" s="3"/>
    </row>
    <row r="81" spans="1:17" ht="60" customHeight="1" x14ac:dyDescent="0.25">
      <c r="A81" s="9">
        <f>IF(F81="","",ROW()-19-COUNTBLANK($F$20:F81))</f>
        <v>55</v>
      </c>
      <c r="B81" s="18"/>
      <c r="C81" s="4" t="s">
        <v>233</v>
      </c>
      <c r="D81" s="4"/>
      <c r="E81" s="7" t="s">
        <v>234</v>
      </c>
      <c r="F81" s="7" t="s">
        <v>227</v>
      </c>
      <c r="G81" s="3" t="s">
        <v>50</v>
      </c>
      <c r="H81" s="3"/>
      <c r="I81" s="3"/>
      <c r="J81" s="3"/>
      <c r="K81" s="3"/>
      <c r="L81" s="3"/>
      <c r="M81" s="3"/>
      <c r="N81" s="3"/>
      <c r="O81" s="3"/>
      <c r="P81" s="3"/>
      <c r="Q81" s="3"/>
    </row>
    <row r="82" spans="1:17" ht="60" customHeight="1" x14ac:dyDescent="0.25">
      <c r="A82" s="9">
        <f>IF(F82="","",ROW()-19-COUNTBLANK($F$20:F82))</f>
        <v>56</v>
      </c>
      <c r="B82" s="18"/>
      <c r="C82" s="4" t="s">
        <v>235</v>
      </c>
      <c r="D82" s="4"/>
      <c r="E82" s="7" t="s">
        <v>236</v>
      </c>
      <c r="F82" s="7" t="s">
        <v>227</v>
      </c>
      <c r="G82" s="3" t="s">
        <v>50</v>
      </c>
      <c r="H82" s="3"/>
      <c r="I82" s="3"/>
      <c r="J82" s="3"/>
      <c r="K82" s="3"/>
      <c r="L82" s="3"/>
      <c r="M82" s="3"/>
      <c r="N82" s="3"/>
      <c r="O82" s="3"/>
      <c r="P82" s="3"/>
      <c r="Q82" s="3"/>
    </row>
    <row r="83" spans="1:17" ht="60" customHeight="1" x14ac:dyDescent="0.25">
      <c r="A83" s="9">
        <f>IF(F83="","",ROW()-19-COUNTBLANK($F$20:F83))</f>
        <v>57</v>
      </c>
      <c r="B83" s="18"/>
      <c r="C83" s="4" t="s">
        <v>237</v>
      </c>
      <c r="D83" s="4"/>
      <c r="E83" s="7" t="s">
        <v>238</v>
      </c>
      <c r="F83" s="7" t="s">
        <v>224</v>
      </c>
      <c r="G83" s="3" t="s">
        <v>55</v>
      </c>
      <c r="H83" s="3"/>
      <c r="I83" s="3"/>
      <c r="J83" s="3"/>
      <c r="K83" s="3"/>
      <c r="L83" s="3"/>
      <c r="M83" s="3"/>
      <c r="N83" s="3"/>
      <c r="O83" s="3"/>
      <c r="P83" s="3"/>
      <c r="Q83" s="3"/>
    </row>
    <row r="84" spans="1:17" ht="60" customHeight="1" x14ac:dyDescent="0.25">
      <c r="A84" s="9">
        <f>IF(F84="","",ROW()-19-COUNTBLANK($F$20:F84))</f>
        <v>58</v>
      </c>
      <c r="B84" s="18"/>
      <c r="C84" s="4" t="s">
        <v>239</v>
      </c>
      <c r="D84" s="4"/>
      <c r="E84" s="7" t="s">
        <v>240</v>
      </c>
      <c r="F84" s="7" t="s">
        <v>224</v>
      </c>
      <c r="G84" s="3" t="s">
        <v>55</v>
      </c>
      <c r="H84" s="3"/>
      <c r="I84" s="3"/>
      <c r="J84" s="3"/>
      <c r="K84" s="3"/>
      <c r="L84" s="3"/>
      <c r="M84" s="3"/>
      <c r="N84" s="3"/>
      <c r="O84" s="3"/>
      <c r="P84" s="3"/>
      <c r="Q84" s="3"/>
    </row>
    <row r="85" spans="1:17" ht="60" customHeight="1" x14ac:dyDescent="0.25">
      <c r="A85" s="9">
        <f>IF(F85="","",ROW()-19-COUNTBLANK($F$20:F85))</f>
        <v>59</v>
      </c>
      <c r="B85" s="18"/>
      <c r="C85" s="4" t="s">
        <v>241</v>
      </c>
      <c r="D85" s="4"/>
      <c r="E85" s="7" t="s">
        <v>242</v>
      </c>
      <c r="F85" s="7" t="s">
        <v>224</v>
      </c>
      <c r="G85" s="3" t="s">
        <v>55</v>
      </c>
      <c r="H85" s="3"/>
      <c r="I85" s="3"/>
      <c r="J85" s="3"/>
      <c r="K85" s="3"/>
      <c r="L85" s="3"/>
      <c r="M85" s="3"/>
      <c r="N85" s="3"/>
      <c r="O85" s="3"/>
      <c r="P85" s="3"/>
      <c r="Q85" s="3"/>
    </row>
    <row r="86" spans="1:17" ht="60" customHeight="1" x14ac:dyDescent="0.25">
      <c r="A86" s="9">
        <f>IF(F86="","",ROW()-19-COUNTBLANK($F$20:F86))</f>
        <v>60</v>
      </c>
      <c r="B86" s="18"/>
      <c r="C86" s="4" t="s">
        <v>243</v>
      </c>
      <c r="D86" s="4"/>
      <c r="E86" s="7" t="s">
        <v>244</v>
      </c>
      <c r="F86" s="7" t="s">
        <v>230</v>
      </c>
      <c r="G86" s="3" t="s">
        <v>55</v>
      </c>
      <c r="H86" s="3"/>
      <c r="I86" s="3"/>
      <c r="J86" s="3"/>
      <c r="K86" s="3"/>
      <c r="L86" s="3"/>
      <c r="M86" s="3"/>
      <c r="N86" s="3"/>
      <c r="O86" s="3"/>
      <c r="P86" s="3"/>
      <c r="Q86" s="3"/>
    </row>
    <row r="87" spans="1:17" ht="60" customHeight="1" x14ac:dyDescent="0.25">
      <c r="A87" s="9">
        <f>IF(F87="","",ROW()-19-COUNTBLANK($F$20:F87))</f>
        <v>61</v>
      </c>
      <c r="B87" s="18"/>
      <c r="C87" s="4" t="s">
        <v>245</v>
      </c>
      <c r="D87" s="4"/>
      <c r="E87" s="7" t="s">
        <v>246</v>
      </c>
      <c r="F87" s="7" t="s">
        <v>224</v>
      </c>
      <c r="G87" s="3" t="s">
        <v>55</v>
      </c>
      <c r="H87" s="3"/>
      <c r="I87" s="3"/>
      <c r="J87" s="3"/>
      <c r="K87" s="3"/>
      <c r="L87" s="3"/>
      <c r="M87" s="3"/>
      <c r="N87" s="3"/>
      <c r="O87" s="3"/>
      <c r="P87" s="3"/>
      <c r="Q87" s="3"/>
    </row>
    <row r="88" spans="1:17" ht="60" customHeight="1" x14ac:dyDescent="0.25">
      <c r="A88" s="9">
        <f>IF(F88="","",ROW()-19-COUNTBLANK($F$20:F88))</f>
        <v>62</v>
      </c>
      <c r="B88" s="18"/>
      <c r="C88" s="4" t="s">
        <v>247</v>
      </c>
      <c r="D88" s="4"/>
      <c r="E88" s="7" t="s">
        <v>248</v>
      </c>
      <c r="F88" s="7" t="s">
        <v>224</v>
      </c>
      <c r="G88" s="3" t="s">
        <v>55</v>
      </c>
      <c r="H88" s="3"/>
      <c r="I88" s="3"/>
      <c r="J88" s="3"/>
      <c r="K88" s="3"/>
      <c r="L88" s="3"/>
      <c r="M88" s="3"/>
      <c r="N88" s="3"/>
      <c r="O88" s="3"/>
      <c r="P88" s="3"/>
      <c r="Q88" s="3"/>
    </row>
    <row r="89" spans="1:17" ht="60" customHeight="1" x14ac:dyDescent="0.25">
      <c r="A89" s="9">
        <f>IF(F89="","",ROW()-19-COUNTBLANK($F$20:F89))</f>
        <v>63</v>
      </c>
      <c r="B89" s="18"/>
      <c r="C89" s="4" t="s">
        <v>249</v>
      </c>
      <c r="D89" s="4"/>
      <c r="E89" s="7" t="s">
        <v>250</v>
      </c>
      <c r="F89" s="7" t="s">
        <v>224</v>
      </c>
      <c r="G89" s="3" t="s">
        <v>55</v>
      </c>
      <c r="H89" s="3"/>
      <c r="I89" s="3"/>
      <c r="J89" s="3"/>
      <c r="K89" s="3"/>
      <c r="L89" s="3"/>
      <c r="M89" s="3"/>
      <c r="N89" s="3"/>
      <c r="O89" s="3"/>
      <c r="P89" s="3"/>
      <c r="Q89" s="3"/>
    </row>
    <row r="90" spans="1:17" ht="60" customHeight="1" x14ac:dyDescent="0.25">
      <c r="A90" s="9">
        <f>IF(F90="","",ROW()-19-COUNTBLANK($F$20:F90))</f>
        <v>64</v>
      </c>
      <c r="B90" s="18"/>
      <c r="C90" s="4" t="s">
        <v>251</v>
      </c>
      <c r="D90" s="4"/>
      <c r="E90" s="7" t="s">
        <v>252</v>
      </c>
      <c r="F90" s="7" t="s">
        <v>230</v>
      </c>
      <c r="G90" s="3" t="s">
        <v>55</v>
      </c>
      <c r="H90" s="3"/>
      <c r="I90" s="3"/>
      <c r="J90" s="3"/>
      <c r="K90" s="3"/>
      <c r="L90" s="3"/>
      <c r="M90" s="3"/>
      <c r="N90" s="3"/>
      <c r="O90" s="3"/>
      <c r="P90" s="3"/>
      <c r="Q90" s="3"/>
    </row>
    <row r="91" spans="1:17" ht="60" customHeight="1" x14ac:dyDescent="0.25">
      <c r="A91" s="9">
        <f>IF(F91="","",ROW()-19-COUNTBLANK($F$20:F91))</f>
        <v>65</v>
      </c>
      <c r="B91" s="18"/>
      <c r="C91" s="4" t="s">
        <v>253</v>
      </c>
      <c r="D91" s="4"/>
      <c r="E91" s="7" t="s">
        <v>254</v>
      </c>
      <c r="F91" s="7" t="s">
        <v>230</v>
      </c>
      <c r="G91" s="3" t="s">
        <v>55</v>
      </c>
      <c r="H91" s="3"/>
      <c r="I91" s="3"/>
      <c r="J91" s="3"/>
      <c r="K91" s="3"/>
      <c r="L91" s="3"/>
      <c r="M91" s="3"/>
      <c r="N91" s="3"/>
      <c r="O91" s="3"/>
      <c r="P91" s="3"/>
      <c r="Q91" s="3"/>
    </row>
    <row r="92" spans="1:17" ht="60" customHeight="1" x14ac:dyDescent="0.25">
      <c r="A92" s="9">
        <f>IF(F92="","",ROW()-19-COUNTBLANK($F$20:F92))</f>
        <v>66</v>
      </c>
      <c r="B92" s="19"/>
      <c r="C92" s="4" t="s">
        <v>255</v>
      </c>
      <c r="D92" s="4"/>
      <c r="E92" s="7" t="s">
        <v>256</v>
      </c>
      <c r="F92" s="7" t="s">
        <v>227</v>
      </c>
      <c r="G92" s="3" t="s">
        <v>50</v>
      </c>
      <c r="H92" s="3"/>
      <c r="I92" s="3"/>
      <c r="J92" s="3"/>
      <c r="K92" s="3"/>
      <c r="L92" s="3"/>
      <c r="M92" s="3"/>
      <c r="N92" s="3"/>
      <c r="O92" s="3"/>
      <c r="P92" s="3"/>
      <c r="Q92" s="3"/>
    </row>
    <row r="93" spans="1:17" ht="60" customHeight="1" x14ac:dyDescent="0.25">
      <c r="A93" s="9">
        <f>IF(F93="","",ROW()-19-COUNTBLANK($F$20:F93))</f>
        <v>67</v>
      </c>
      <c r="B93" s="17" t="s">
        <v>257</v>
      </c>
      <c r="C93" s="4" t="s">
        <v>1</v>
      </c>
      <c r="D93" s="4"/>
      <c r="E93" s="7" t="s">
        <v>258</v>
      </c>
      <c r="F93" s="7" t="s">
        <v>259</v>
      </c>
      <c r="G93" s="3" t="s">
        <v>55</v>
      </c>
      <c r="H93" s="3"/>
      <c r="I93" s="3"/>
      <c r="J93" s="3"/>
      <c r="K93" s="3"/>
      <c r="L93" s="3"/>
      <c r="M93" s="3"/>
      <c r="N93" s="3"/>
      <c r="O93" s="3"/>
      <c r="P93" s="3"/>
      <c r="Q93" s="3"/>
    </row>
    <row r="94" spans="1:17" ht="60" customHeight="1" x14ac:dyDescent="0.25">
      <c r="A94" s="9">
        <f>IF(F94="","",ROW()-19-COUNTBLANK($F$20:F94))</f>
        <v>68</v>
      </c>
      <c r="B94" s="18"/>
      <c r="C94" s="4" t="s">
        <v>225</v>
      </c>
      <c r="D94" s="4"/>
      <c r="E94" s="7" t="s">
        <v>260</v>
      </c>
      <c r="F94" s="7" t="s">
        <v>259</v>
      </c>
      <c r="G94" s="3" t="s">
        <v>55</v>
      </c>
      <c r="H94" s="3"/>
      <c r="I94" s="3"/>
      <c r="J94" s="3"/>
      <c r="K94" s="3"/>
      <c r="L94" s="3"/>
      <c r="M94" s="3"/>
      <c r="N94" s="3"/>
      <c r="O94" s="3"/>
      <c r="P94" s="3"/>
      <c r="Q94" s="3"/>
    </row>
    <row r="95" spans="1:17" ht="60" customHeight="1" x14ac:dyDescent="0.25">
      <c r="A95" s="9">
        <f>IF(F95="","",ROW()-19-COUNTBLANK($F$20:F95))</f>
        <v>69</v>
      </c>
      <c r="B95" s="18"/>
      <c r="C95" s="4" t="s">
        <v>228</v>
      </c>
      <c r="D95" s="4"/>
      <c r="E95" s="7" t="s">
        <v>261</v>
      </c>
      <c r="F95" s="7" t="s">
        <v>259</v>
      </c>
      <c r="G95" s="3" t="s">
        <v>55</v>
      </c>
      <c r="H95" s="3"/>
      <c r="I95" s="3"/>
      <c r="J95" s="3"/>
      <c r="K95" s="3"/>
      <c r="L95" s="3"/>
      <c r="M95" s="3"/>
      <c r="N95" s="3"/>
      <c r="O95" s="3"/>
      <c r="P95" s="3"/>
      <c r="Q95" s="3"/>
    </row>
    <row r="96" spans="1:17" ht="60" customHeight="1" x14ac:dyDescent="0.25">
      <c r="A96" s="9">
        <f>IF(F96="","",ROW()-19-COUNTBLANK($F$20:F96))</f>
        <v>70</v>
      </c>
      <c r="B96" s="18"/>
      <c r="C96" s="4" t="s">
        <v>231</v>
      </c>
      <c r="D96" s="4"/>
      <c r="E96" s="7" t="s">
        <v>262</v>
      </c>
      <c r="F96" s="7" t="s">
        <v>259</v>
      </c>
      <c r="G96" s="3" t="s">
        <v>55</v>
      </c>
      <c r="H96" s="3"/>
      <c r="I96" s="3"/>
      <c r="J96" s="3"/>
      <c r="K96" s="3"/>
      <c r="L96" s="3"/>
      <c r="M96" s="3"/>
      <c r="N96" s="3"/>
      <c r="O96" s="3"/>
      <c r="P96" s="3"/>
      <c r="Q96" s="3"/>
    </row>
    <row r="97" spans="1:17" ht="60" customHeight="1" x14ac:dyDescent="0.25">
      <c r="A97" s="9">
        <f>IF(F97="","",ROW()-19-COUNTBLANK($F$20:F97))</f>
        <v>71</v>
      </c>
      <c r="B97" s="18"/>
      <c r="C97" s="4" t="s">
        <v>233</v>
      </c>
      <c r="D97" s="4"/>
      <c r="E97" s="7" t="s">
        <v>263</v>
      </c>
      <c r="F97" s="7" t="s">
        <v>259</v>
      </c>
      <c r="G97" s="3" t="s">
        <v>55</v>
      </c>
      <c r="H97" s="3"/>
      <c r="I97" s="3"/>
      <c r="J97" s="3"/>
      <c r="K97" s="3"/>
      <c r="L97" s="3"/>
      <c r="M97" s="3"/>
      <c r="N97" s="3"/>
      <c r="O97" s="3"/>
      <c r="P97" s="3"/>
      <c r="Q97" s="3"/>
    </row>
    <row r="98" spans="1:17" ht="60" customHeight="1" x14ac:dyDescent="0.25">
      <c r="A98" s="9">
        <f>IF(F98="","",ROW()-19-COUNTBLANK($F$20:F98))</f>
        <v>72</v>
      </c>
      <c r="B98" s="18"/>
      <c r="C98" s="4" t="s">
        <v>235</v>
      </c>
      <c r="D98" s="4"/>
      <c r="E98" s="7" t="s">
        <v>264</v>
      </c>
      <c r="F98" s="7" t="s">
        <v>259</v>
      </c>
      <c r="G98" s="3" t="s">
        <v>55</v>
      </c>
      <c r="H98" s="3"/>
      <c r="I98" s="3"/>
      <c r="J98" s="3"/>
      <c r="K98" s="3"/>
      <c r="L98" s="3"/>
      <c r="M98" s="3"/>
      <c r="N98" s="3"/>
      <c r="O98" s="3"/>
      <c r="P98" s="3"/>
      <c r="Q98" s="3"/>
    </row>
    <row r="99" spans="1:17" ht="60" customHeight="1" x14ac:dyDescent="0.25">
      <c r="A99" s="9">
        <f>IF(F99="","",ROW()-19-COUNTBLANK($F$20:F99))</f>
        <v>73</v>
      </c>
      <c r="B99" s="18"/>
      <c r="C99" s="4" t="s">
        <v>237</v>
      </c>
      <c r="D99" s="4"/>
      <c r="E99" s="7" t="s">
        <v>265</v>
      </c>
      <c r="F99" s="7" t="s">
        <v>259</v>
      </c>
      <c r="G99" s="3" t="s">
        <v>55</v>
      </c>
      <c r="H99" s="3"/>
      <c r="I99" s="3"/>
      <c r="J99" s="3"/>
      <c r="K99" s="3"/>
      <c r="L99" s="3"/>
      <c r="M99" s="3"/>
      <c r="N99" s="3"/>
      <c r="O99" s="3"/>
      <c r="P99" s="3"/>
      <c r="Q99" s="3"/>
    </row>
    <row r="100" spans="1:17" ht="60" customHeight="1" x14ac:dyDescent="0.25">
      <c r="A100" s="9">
        <f>IF(F100="","",ROW()-19-COUNTBLANK($F$20:F100))</f>
        <v>74</v>
      </c>
      <c r="B100" s="18"/>
      <c r="C100" s="4" t="s">
        <v>239</v>
      </c>
      <c r="D100" s="4"/>
      <c r="E100" s="7" t="s">
        <v>266</v>
      </c>
      <c r="F100" s="7" t="s">
        <v>259</v>
      </c>
      <c r="G100" s="3" t="s">
        <v>55</v>
      </c>
      <c r="H100" s="3"/>
      <c r="I100" s="3"/>
      <c r="J100" s="3"/>
      <c r="K100" s="3"/>
      <c r="L100" s="3"/>
      <c r="M100" s="3"/>
      <c r="N100" s="3"/>
      <c r="O100" s="3"/>
      <c r="P100" s="3"/>
      <c r="Q100" s="3"/>
    </row>
    <row r="101" spans="1:17" ht="60" customHeight="1" x14ac:dyDescent="0.25">
      <c r="A101" s="9">
        <f>IF(F101="","",ROW()-19-COUNTBLANK($F$20:F101))</f>
        <v>75</v>
      </c>
      <c r="B101" s="18"/>
      <c r="C101" s="4" t="s">
        <v>241</v>
      </c>
      <c r="D101" s="4"/>
      <c r="E101" s="7" t="s">
        <v>267</v>
      </c>
      <c r="F101" s="7" t="s">
        <v>259</v>
      </c>
      <c r="G101" s="3" t="s">
        <v>55</v>
      </c>
      <c r="H101" s="3"/>
      <c r="I101" s="3"/>
      <c r="J101" s="3"/>
      <c r="K101" s="3"/>
      <c r="L101" s="3"/>
      <c r="M101" s="3"/>
      <c r="N101" s="3"/>
      <c r="O101" s="3"/>
      <c r="P101" s="3"/>
      <c r="Q101" s="3"/>
    </row>
    <row r="102" spans="1:17" ht="60" customHeight="1" x14ac:dyDescent="0.25">
      <c r="A102" s="9">
        <f>IF(F102="","",ROW()-19-COUNTBLANK($F$20:F102))</f>
        <v>76</v>
      </c>
      <c r="B102" s="18"/>
      <c r="C102" s="4" t="s">
        <v>243</v>
      </c>
      <c r="D102" s="4"/>
      <c r="E102" s="7" t="s">
        <v>268</v>
      </c>
      <c r="F102" s="7" t="s">
        <v>259</v>
      </c>
      <c r="G102" s="3" t="s">
        <v>55</v>
      </c>
      <c r="H102" s="3"/>
      <c r="I102" s="3"/>
      <c r="J102" s="3"/>
      <c r="K102" s="3"/>
      <c r="L102" s="3"/>
      <c r="M102" s="3"/>
      <c r="N102" s="3"/>
      <c r="O102" s="3"/>
      <c r="P102" s="3"/>
      <c r="Q102" s="3"/>
    </row>
    <row r="103" spans="1:17" ht="60" customHeight="1" x14ac:dyDescent="0.25">
      <c r="A103" s="9">
        <f>IF(F103="","",ROW()-19-COUNTBLANK($F$20:F103))</f>
        <v>77</v>
      </c>
      <c r="B103" s="18"/>
      <c r="C103" s="4" t="s">
        <v>245</v>
      </c>
      <c r="D103" s="4"/>
      <c r="E103" s="7" t="s">
        <v>269</v>
      </c>
      <c r="F103" s="7" t="s">
        <v>259</v>
      </c>
      <c r="G103" s="3" t="s">
        <v>55</v>
      </c>
      <c r="H103" s="3"/>
      <c r="I103" s="3"/>
      <c r="J103" s="3"/>
      <c r="K103" s="3"/>
      <c r="L103" s="3"/>
      <c r="M103" s="3"/>
      <c r="N103" s="3"/>
      <c r="O103" s="3"/>
      <c r="P103" s="3"/>
      <c r="Q103" s="3"/>
    </row>
    <row r="104" spans="1:17" ht="60" customHeight="1" x14ac:dyDescent="0.25">
      <c r="A104" s="9">
        <f>IF(F104="","",ROW()-19-COUNTBLANK($F$20:F104))</f>
        <v>78</v>
      </c>
      <c r="B104" s="18"/>
      <c r="C104" s="4" t="s">
        <v>247</v>
      </c>
      <c r="D104" s="4"/>
      <c r="E104" s="7" t="s">
        <v>270</v>
      </c>
      <c r="F104" s="7" t="s">
        <v>259</v>
      </c>
      <c r="G104" s="3" t="s">
        <v>55</v>
      </c>
      <c r="H104" s="3"/>
      <c r="I104" s="3"/>
      <c r="J104" s="3"/>
      <c r="K104" s="3"/>
      <c r="L104" s="3"/>
      <c r="M104" s="3"/>
      <c r="N104" s="3"/>
      <c r="O104" s="3"/>
      <c r="P104" s="3"/>
      <c r="Q104" s="3"/>
    </row>
    <row r="105" spans="1:17" ht="60" customHeight="1" x14ac:dyDescent="0.25">
      <c r="A105" s="9">
        <f>IF(F105="","",ROW()-19-COUNTBLANK($F$20:F105))</f>
        <v>79</v>
      </c>
      <c r="B105" s="18"/>
      <c r="C105" s="4" t="s">
        <v>249</v>
      </c>
      <c r="D105" s="4"/>
      <c r="E105" s="7" t="s">
        <v>271</v>
      </c>
      <c r="F105" s="7" t="s">
        <v>259</v>
      </c>
      <c r="G105" s="3" t="s">
        <v>55</v>
      </c>
      <c r="H105" s="3"/>
      <c r="I105" s="3"/>
      <c r="J105" s="3"/>
      <c r="K105" s="3"/>
      <c r="L105" s="3"/>
      <c r="M105" s="3"/>
      <c r="N105" s="3"/>
      <c r="O105" s="3"/>
      <c r="P105" s="3"/>
      <c r="Q105" s="3"/>
    </row>
    <row r="106" spans="1:17" ht="60" customHeight="1" x14ac:dyDescent="0.25">
      <c r="A106" s="9">
        <f>IF(F106="","",ROW()-19-COUNTBLANK($F$20:F106))</f>
        <v>80</v>
      </c>
      <c r="B106" s="18"/>
      <c r="C106" s="4" t="s">
        <v>251</v>
      </c>
      <c r="D106" s="4"/>
      <c r="E106" s="7" t="s">
        <v>272</v>
      </c>
      <c r="F106" s="7" t="s">
        <v>259</v>
      </c>
      <c r="G106" s="3" t="s">
        <v>55</v>
      </c>
      <c r="H106" s="3"/>
      <c r="I106" s="3"/>
      <c r="J106" s="3"/>
      <c r="K106" s="3"/>
      <c r="L106" s="3"/>
      <c r="M106" s="3"/>
      <c r="N106" s="3"/>
      <c r="O106" s="3"/>
      <c r="P106" s="3"/>
      <c r="Q106" s="3"/>
    </row>
    <row r="107" spans="1:17" ht="60" customHeight="1" x14ac:dyDescent="0.25">
      <c r="A107" s="9">
        <f>IF(F107="","",ROW()-19-COUNTBLANK($F$20:F107))</f>
        <v>81</v>
      </c>
      <c r="B107" s="18"/>
      <c r="C107" s="4" t="s">
        <v>253</v>
      </c>
      <c r="D107" s="4"/>
      <c r="E107" s="7" t="s">
        <v>273</v>
      </c>
      <c r="F107" s="7" t="s">
        <v>259</v>
      </c>
      <c r="G107" s="3" t="s">
        <v>55</v>
      </c>
      <c r="H107" s="3"/>
      <c r="I107" s="3"/>
      <c r="J107" s="3"/>
      <c r="K107" s="3"/>
      <c r="L107" s="3"/>
      <c r="M107" s="3"/>
      <c r="N107" s="3"/>
      <c r="O107" s="3"/>
      <c r="P107" s="3"/>
      <c r="Q107" s="3"/>
    </row>
    <row r="108" spans="1:17" ht="60" customHeight="1" x14ac:dyDescent="0.25">
      <c r="A108" s="9">
        <f>IF(F108="","",ROW()-19-COUNTBLANK($F$20:F108))</f>
        <v>82</v>
      </c>
      <c r="B108" s="19"/>
      <c r="C108" s="4" t="s">
        <v>255</v>
      </c>
      <c r="D108" s="4"/>
      <c r="E108" s="7" t="s">
        <v>274</v>
      </c>
      <c r="F108" s="7" t="s">
        <v>259</v>
      </c>
      <c r="G108" s="3" t="s">
        <v>55</v>
      </c>
      <c r="H108" s="3"/>
      <c r="I108" s="3"/>
      <c r="J108" s="3"/>
      <c r="K108" s="3"/>
      <c r="L108" s="3"/>
      <c r="M108" s="3"/>
      <c r="N108" s="3"/>
      <c r="O108" s="3"/>
      <c r="P108" s="3"/>
      <c r="Q108" s="3"/>
    </row>
    <row r="109" spans="1:17" ht="20.100000000000001" customHeight="1" x14ac:dyDescent="0.25">
      <c r="A109" s="9" t="str">
        <f>IF(F109="","",ROW()-19-COUNTBLANK($F$20:F109))</f>
        <v/>
      </c>
      <c r="B109" s="12" t="s">
        <v>275</v>
      </c>
      <c r="C109" s="12"/>
      <c r="D109" s="12"/>
      <c r="E109" s="12"/>
      <c r="F109" s="12"/>
      <c r="G109" s="12"/>
      <c r="H109" s="12"/>
      <c r="I109" s="12"/>
      <c r="J109" s="12"/>
      <c r="K109" s="12"/>
      <c r="L109" s="12"/>
      <c r="M109" s="12"/>
      <c r="N109" s="12"/>
      <c r="O109" s="12"/>
      <c r="P109" s="12"/>
      <c r="Q109" s="12"/>
    </row>
    <row r="110" spans="1:17" ht="60" customHeight="1" x14ac:dyDescent="0.25">
      <c r="A110" s="9">
        <f>IF(F110="","",ROW()-19-COUNTBLANK($F$20:F110))</f>
        <v>83</v>
      </c>
      <c r="B110" s="4" t="s">
        <v>114</v>
      </c>
      <c r="C110" s="4" t="s">
        <v>276</v>
      </c>
      <c r="D110" s="4"/>
      <c r="E110" s="7" t="s">
        <v>277</v>
      </c>
      <c r="F110" s="7" t="s">
        <v>278</v>
      </c>
      <c r="G110" s="3" t="s">
        <v>55</v>
      </c>
      <c r="H110" s="3"/>
      <c r="I110" s="3"/>
      <c r="J110" s="3"/>
      <c r="K110" s="3"/>
      <c r="L110" s="3"/>
      <c r="M110" s="3"/>
      <c r="N110" s="3"/>
      <c r="O110" s="3"/>
      <c r="P110" s="3"/>
      <c r="Q110" s="3"/>
    </row>
    <row r="111" spans="1:17" ht="60" customHeight="1" x14ac:dyDescent="0.25">
      <c r="A111" s="9">
        <f>IF(F111="","",ROW()-19-COUNTBLANK($F$20:F111))</f>
        <v>84</v>
      </c>
      <c r="B111" s="4" t="s">
        <v>118</v>
      </c>
      <c r="C111" s="4" t="s">
        <v>279</v>
      </c>
      <c r="D111" s="4"/>
      <c r="E111" s="7" t="s">
        <v>280</v>
      </c>
      <c r="F111" s="7" t="s">
        <v>121</v>
      </c>
      <c r="G111" s="3" t="s">
        <v>55</v>
      </c>
      <c r="H111" s="3"/>
      <c r="I111" s="3"/>
      <c r="J111" s="3"/>
      <c r="K111" s="3"/>
      <c r="L111" s="3"/>
      <c r="M111" s="3"/>
      <c r="N111" s="3"/>
      <c r="O111" s="3"/>
      <c r="P111" s="3"/>
      <c r="Q111" s="3"/>
    </row>
    <row r="112" spans="1:17" ht="60" customHeight="1" x14ac:dyDescent="0.25">
      <c r="A112" s="9">
        <f>IF(F112="","",ROW()-19-COUNTBLANK($F$20:F112))</f>
        <v>85</v>
      </c>
      <c r="B112" s="4" t="s">
        <v>122</v>
      </c>
      <c r="C112" s="4" t="s">
        <v>281</v>
      </c>
      <c r="D112" s="4"/>
      <c r="E112" s="7" t="s">
        <v>282</v>
      </c>
      <c r="F112" s="7" t="s">
        <v>283</v>
      </c>
      <c r="G112" s="3" t="s">
        <v>55</v>
      </c>
      <c r="H112" s="3"/>
      <c r="I112" s="3"/>
      <c r="J112" s="3"/>
      <c r="K112" s="3"/>
      <c r="L112" s="3"/>
      <c r="M112" s="3"/>
      <c r="N112" s="3"/>
      <c r="O112" s="3"/>
      <c r="P112" s="3"/>
      <c r="Q112" s="3"/>
    </row>
    <row r="113" spans="1:17" ht="20.100000000000001" customHeight="1" x14ac:dyDescent="0.25">
      <c r="A113" s="9" t="str">
        <f>IF(F113="","",ROW()-19-COUNTBLANK($F$20:F113))</f>
        <v/>
      </c>
      <c r="B113" s="12" t="s">
        <v>284</v>
      </c>
      <c r="C113" s="12"/>
      <c r="D113" s="12"/>
      <c r="E113" s="12"/>
      <c r="F113" s="12"/>
      <c r="G113" s="12"/>
      <c r="H113" s="12"/>
      <c r="I113" s="12"/>
      <c r="J113" s="12"/>
      <c r="K113" s="12"/>
      <c r="L113" s="12"/>
      <c r="M113" s="12"/>
      <c r="N113" s="12"/>
      <c r="O113" s="12"/>
      <c r="P113" s="12"/>
      <c r="Q113" s="12"/>
    </row>
    <row r="114" spans="1:17" ht="60" customHeight="1" x14ac:dyDescent="0.25">
      <c r="A114" s="9">
        <f>IF(F114="","",ROW()-19-COUNTBLANK($F$20:F114))</f>
        <v>86</v>
      </c>
      <c r="B114" s="4" t="s">
        <v>114</v>
      </c>
      <c r="C114" s="4" t="s">
        <v>285</v>
      </c>
      <c r="D114" s="4"/>
      <c r="E114" s="7" t="s">
        <v>286</v>
      </c>
      <c r="F114" s="7" t="s">
        <v>287</v>
      </c>
      <c r="G114" s="3" t="s">
        <v>55</v>
      </c>
      <c r="H114" s="3"/>
      <c r="I114" s="3"/>
      <c r="J114" s="3"/>
      <c r="K114" s="3"/>
      <c r="L114" s="3"/>
      <c r="M114" s="3"/>
      <c r="N114" s="3"/>
      <c r="O114" s="3"/>
      <c r="P114" s="3"/>
      <c r="Q114" s="3"/>
    </row>
    <row r="115" spans="1:17" ht="60" customHeight="1" x14ac:dyDescent="0.25">
      <c r="A115" s="9">
        <f>IF(F115="","",ROW()-19-COUNTBLANK($F$20:F115))</f>
        <v>87</v>
      </c>
      <c r="B115" s="4" t="s">
        <v>118</v>
      </c>
      <c r="C115" s="4" t="s">
        <v>288</v>
      </c>
      <c r="D115" s="4"/>
      <c r="E115" s="7" t="s">
        <v>289</v>
      </c>
      <c r="F115" s="7" t="s">
        <v>121</v>
      </c>
      <c r="G115" s="3" t="s">
        <v>55</v>
      </c>
      <c r="H115" s="3"/>
      <c r="I115" s="3"/>
      <c r="J115" s="3"/>
      <c r="K115" s="3"/>
      <c r="L115" s="3"/>
      <c r="M115" s="3"/>
      <c r="N115" s="3"/>
      <c r="O115" s="3"/>
      <c r="P115" s="3"/>
      <c r="Q115" s="3"/>
    </row>
    <row r="116" spans="1:17" ht="60" customHeight="1" x14ac:dyDescent="0.25">
      <c r="A116" s="9">
        <f>IF(F116="","",ROW()-19-COUNTBLANK($F$20:F116))</f>
        <v>88</v>
      </c>
      <c r="B116" s="17" t="s">
        <v>290</v>
      </c>
      <c r="C116" s="4" t="s">
        <v>291</v>
      </c>
      <c r="D116" s="4"/>
      <c r="E116" s="7" t="s">
        <v>292</v>
      </c>
      <c r="F116" s="7" t="s">
        <v>293</v>
      </c>
      <c r="G116" s="3" t="s">
        <v>55</v>
      </c>
      <c r="H116" s="3"/>
      <c r="I116" s="3"/>
      <c r="J116" s="3"/>
      <c r="K116" s="3"/>
      <c r="L116" s="3"/>
      <c r="M116" s="3"/>
      <c r="N116" s="3"/>
      <c r="O116" s="3"/>
      <c r="P116" s="3"/>
      <c r="Q116" s="3"/>
    </row>
    <row r="117" spans="1:17" ht="60" customHeight="1" x14ac:dyDescent="0.25">
      <c r="A117" s="9">
        <f>IF(F117="","",ROW()-19-COUNTBLANK($F$20:F117))</f>
        <v>89</v>
      </c>
      <c r="B117" s="19"/>
      <c r="C117" s="4" t="s">
        <v>294</v>
      </c>
      <c r="D117" s="4"/>
      <c r="E117" s="7" t="s">
        <v>295</v>
      </c>
      <c r="F117" s="7" t="s">
        <v>296</v>
      </c>
      <c r="G117" s="3" t="s">
        <v>55</v>
      </c>
      <c r="H117" s="3"/>
      <c r="I117" s="3"/>
      <c r="J117" s="3"/>
      <c r="K117" s="3"/>
      <c r="L117" s="3"/>
      <c r="M117" s="3"/>
      <c r="N117" s="3"/>
      <c r="O117" s="3"/>
      <c r="P117" s="3"/>
      <c r="Q117" s="3"/>
    </row>
    <row r="118" spans="1:17" ht="60" customHeight="1" x14ac:dyDescent="0.25">
      <c r="A118" s="9">
        <f>IF(F118="","",ROW()-19-COUNTBLANK($F$20:F118))</f>
        <v>90</v>
      </c>
      <c r="B118" s="4" t="s">
        <v>297</v>
      </c>
      <c r="C118" s="4" t="s">
        <v>298</v>
      </c>
      <c r="D118" s="4"/>
      <c r="E118" s="7" t="s">
        <v>299</v>
      </c>
      <c r="F118" s="7" t="s">
        <v>300</v>
      </c>
      <c r="G118" s="3" t="s">
        <v>73</v>
      </c>
      <c r="H118" s="3"/>
      <c r="I118" s="3"/>
      <c r="J118" s="3"/>
      <c r="K118" s="3"/>
      <c r="L118" s="3"/>
      <c r="M118" s="3"/>
      <c r="N118" s="3"/>
      <c r="O118" s="3"/>
      <c r="P118" s="3"/>
      <c r="Q118" s="3"/>
    </row>
    <row r="119" spans="1:17" ht="20.100000000000001" customHeight="1" x14ac:dyDescent="0.25">
      <c r="A119" s="9" t="str">
        <f>IF(F119="","",ROW()-19-COUNTBLANK($F$20:F119))</f>
        <v/>
      </c>
      <c r="B119" s="12" t="s">
        <v>301</v>
      </c>
      <c r="C119" s="12"/>
      <c r="D119" s="12"/>
      <c r="E119" s="12"/>
      <c r="F119" s="12"/>
      <c r="G119" s="12"/>
      <c r="H119" s="12"/>
      <c r="I119" s="12"/>
      <c r="J119" s="12"/>
      <c r="K119" s="12"/>
      <c r="L119" s="12"/>
      <c r="M119" s="12"/>
      <c r="N119" s="12"/>
      <c r="O119" s="12"/>
      <c r="P119" s="12"/>
      <c r="Q119" s="12"/>
    </row>
    <row r="120" spans="1:17" ht="60" customHeight="1" x14ac:dyDescent="0.25">
      <c r="A120" s="9">
        <f>IF(F120="","",ROW()-19-COUNTBLANK($F$20:F120))</f>
        <v>91</v>
      </c>
      <c r="B120" s="4" t="s">
        <v>114</v>
      </c>
      <c r="C120" s="4" t="s">
        <v>302</v>
      </c>
      <c r="D120" s="4"/>
      <c r="E120" s="7" t="s">
        <v>303</v>
      </c>
      <c r="F120" s="7" t="s">
        <v>304</v>
      </c>
      <c r="G120" s="3" t="s">
        <v>55</v>
      </c>
      <c r="H120" s="3"/>
      <c r="I120" s="3"/>
      <c r="J120" s="3"/>
      <c r="K120" s="3"/>
      <c r="L120" s="3"/>
      <c r="M120" s="3"/>
      <c r="N120" s="3"/>
      <c r="O120" s="3"/>
      <c r="P120" s="3"/>
      <c r="Q120" s="3"/>
    </row>
    <row r="121" spans="1:17" ht="60" customHeight="1" x14ac:dyDescent="0.25">
      <c r="A121" s="9">
        <f>IF(F121="","",ROW()-19-COUNTBLANK($F$20:F121))</f>
        <v>92</v>
      </c>
      <c r="B121" s="4" t="s">
        <v>118</v>
      </c>
      <c r="C121" s="4" t="s">
        <v>305</v>
      </c>
      <c r="D121" s="4"/>
      <c r="E121" s="7" t="s">
        <v>306</v>
      </c>
      <c r="F121" s="7" t="s">
        <v>121</v>
      </c>
      <c r="G121" s="3" t="s">
        <v>55</v>
      </c>
      <c r="H121" s="3"/>
      <c r="I121" s="3"/>
      <c r="J121" s="3"/>
      <c r="K121" s="3"/>
      <c r="L121" s="3"/>
      <c r="M121" s="3"/>
      <c r="N121" s="3"/>
      <c r="O121" s="3"/>
      <c r="P121" s="3"/>
      <c r="Q121" s="3"/>
    </row>
    <row r="122" spans="1:17" ht="60" customHeight="1" x14ac:dyDescent="0.25">
      <c r="A122" s="9">
        <f>IF(F122="","",ROW()-19-COUNTBLANK($F$20:F122))</f>
        <v>93</v>
      </c>
      <c r="B122" s="4" t="s">
        <v>122</v>
      </c>
      <c r="C122" s="4" t="s">
        <v>307</v>
      </c>
      <c r="D122" s="4"/>
      <c r="E122" s="7" t="s">
        <v>308</v>
      </c>
      <c r="F122" s="7" t="s">
        <v>309</v>
      </c>
      <c r="G122" s="3" t="s">
        <v>50</v>
      </c>
      <c r="H122" s="3"/>
      <c r="I122" s="3"/>
      <c r="J122" s="3"/>
      <c r="K122" s="3"/>
      <c r="L122" s="3"/>
      <c r="M122" s="3"/>
      <c r="N122" s="3"/>
      <c r="O122" s="3"/>
      <c r="P122" s="3"/>
      <c r="Q122" s="3"/>
    </row>
    <row r="123" spans="1:17" ht="20.100000000000001" customHeight="1" x14ac:dyDescent="0.25">
      <c r="A123" s="9" t="str">
        <f>IF(F123="","",ROW()-19-COUNTBLANK($F$20:F123))</f>
        <v/>
      </c>
      <c r="B123" s="12" t="s">
        <v>310</v>
      </c>
      <c r="C123" s="12"/>
      <c r="D123" s="12"/>
      <c r="E123" s="12"/>
      <c r="F123" s="12"/>
      <c r="G123" s="12"/>
      <c r="H123" s="12"/>
      <c r="I123" s="12"/>
      <c r="J123" s="12"/>
      <c r="K123" s="12"/>
      <c r="L123" s="12"/>
      <c r="M123" s="12"/>
      <c r="N123" s="12"/>
      <c r="O123" s="12"/>
      <c r="P123" s="12"/>
      <c r="Q123" s="12"/>
    </row>
    <row r="124" spans="1:17" ht="60" customHeight="1" x14ac:dyDescent="0.25">
      <c r="A124" s="9">
        <f>IF(F124="","",ROW()-19-COUNTBLANK($F$20:F124))</f>
        <v>94</v>
      </c>
      <c r="B124" s="4" t="s">
        <v>311</v>
      </c>
      <c r="C124" s="4" t="s">
        <v>312</v>
      </c>
      <c r="D124" s="4"/>
      <c r="E124" s="7" t="s">
        <v>313</v>
      </c>
      <c r="F124" s="7" t="s">
        <v>314</v>
      </c>
      <c r="G124" s="3" t="s">
        <v>73</v>
      </c>
      <c r="H124" s="3"/>
      <c r="I124" s="3"/>
      <c r="J124" s="3"/>
      <c r="K124" s="3"/>
      <c r="L124" s="3"/>
      <c r="M124" s="3"/>
      <c r="N124" s="3"/>
      <c r="O124" s="3"/>
      <c r="P124" s="3"/>
      <c r="Q124" s="3"/>
    </row>
    <row r="125" spans="1:17" ht="60" customHeight="1" x14ac:dyDescent="0.25">
      <c r="A125" s="9">
        <f>IF(F125="","",ROW()-19-COUNTBLANK($F$20:F125))</f>
        <v>95</v>
      </c>
      <c r="B125" s="4" t="s">
        <v>315</v>
      </c>
      <c r="C125" s="4" t="s">
        <v>316</v>
      </c>
      <c r="D125" s="4" t="s">
        <v>317</v>
      </c>
      <c r="E125" s="7" t="s">
        <v>318</v>
      </c>
      <c r="F125" s="7" t="s">
        <v>319</v>
      </c>
      <c r="G125" s="3" t="s">
        <v>55</v>
      </c>
      <c r="H125" s="3"/>
      <c r="I125" s="3"/>
      <c r="J125" s="3"/>
      <c r="K125" s="3"/>
      <c r="L125" s="3"/>
      <c r="M125" s="3"/>
      <c r="N125" s="3"/>
      <c r="O125" s="3"/>
      <c r="P125" s="3"/>
      <c r="Q125" s="3"/>
    </row>
    <row r="126" spans="1:17" ht="20.100000000000001" customHeight="1" x14ac:dyDescent="0.25">
      <c r="A126" s="9" t="str">
        <f>IF(F126="","",ROW()-19-COUNTBLANK($F$20:F126))</f>
        <v/>
      </c>
      <c r="B126" s="12" t="s">
        <v>320</v>
      </c>
      <c r="C126" s="12"/>
      <c r="D126" s="12"/>
      <c r="E126" s="12"/>
      <c r="F126" s="12"/>
      <c r="G126" s="12"/>
      <c r="H126" s="12"/>
      <c r="I126" s="12"/>
      <c r="J126" s="12"/>
      <c r="K126" s="12"/>
      <c r="L126" s="12"/>
      <c r="M126" s="12"/>
      <c r="N126" s="12"/>
      <c r="O126" s="12"/>
      <c r="P126" s="12"/>
      <c r="Q126" s="12"/>
    </row>
    <row r="127" spans="1:17" ht="60" customHeight="1" x14ac:dyDescent="0.25">
      <c r="A127" s="9">
        <f>IF(F127="","",ROW()-19-COUNTBLANK($F$20:F127))</f>
        <v>96</v>
      </c>
      <c r="B127" s="4" t="s">
        <v>321</v>
      </c>
      <c r="C127" s="4" t="s">
        <v>321</v>
      </c>
      <c r="D127" s="4" t="s">
        <v>322</v>
      </c>
      <c r="E127" s="7" t="s">
        <v>323</v>
      </c>
      <c r="F127" s="7" t="s">
        <v>324</v>
      </c>
      <c r="G127" s="3" t="s">
        <v>50</v>
      </c>
      <c r="H127" s="3"/>
      <c r="I127" s="3"/>
      <c r="J127" s="3"/>
      <c r="K127" s="3"/>
      <c r="L127" s="3"/>
      <c r="M127" s="3"/>
      <c r="N127" s="3"/>
      <c r="O127" s="3"/>
      <c r="P127" s="3"/>
      <c r="Q127" s="3"/>
    </row>
    <row r="128" spans="1:17" ht="60" customHeight="1" x14ac:dyDescent="0.25">
      <c r="A128" s="9">
        <f>IF(F128="","",ROW()-19-COUNTBLANK($F$20:F128))</f>
        <v>97</v>
      </c>
      <c r="B128" s="4" t="s">
        <v>325</v>
      </c>
      <c r="C128" s="4" t="s">
        <v>325</v>
      </c>
      <c r="D128" s="4" t="s">
        <v>326</v>
      </c>
      <c r="E128" s="7" t="s">
        <v>327</v>
      </c>
      <c r="F128" s="7" t="s">
        <v>328</v>
      </c>
      <c r="G128" s="3" t="s">
        <v>50</v>
      </c>
      <c r="H128" s="3"/>
      <c r="I128" s="3"/>
      <c r="J128" s="3"/>
      <c r="K128" s="3"/>
      <c r="L128" s="3"/>
      <c r="M128" s="3"/>
      <c r="N128" s="3"/>
      <c r="O128" s="3"/>
      <c r="P128" s="3"/>
      <c r="Q128" s="3"/>
    </row>
    <row r="129" spans="1:17" ht="60" customHeight="1" x14ac:dyDescent="0.25">
      <c r="A129" s="9">
        <f>IF(F129="","",ROW()-19-COUNTBLANK($F$20:F129))</f>
        <v>98</v>
      </c>
      <c r="B129" s="4" t="s">
        <v>329</v>
      </c>
      <c r="C129" s="4" t="s">
        <v>330</v>
      </c>
      <c r="D129" s="4" t="s">
        <v>331</v>
      </c>
      <c r="E129" s="7" t="s">
        <v>332</v>
      </c>
      <c r="F129" s="7" t="s">
        <v>333</v>
      </c>
      <c r="G129" s="3" t="s">
        <v>50</v>
      </c>
      <c r="H129" s="3"/>
      <c r="I129" s="3"/>
      <c r="J129" s="3"/>
      <c r="K129" s="3"/>
      <c r="L129" s="3"/>
      <c r="M129" s="3"/>
      <c r="N129" s="3"/>
      <c r="O129" s="3"/>
      <c r="P129" s="3"/>
      <c r="Q129" s="3"/>
    </row>
    <row r="130" spans="1:17" ht="60" customHeight="1" x14ac:dyDescent="0.25">
      <c r="A130" s="9">
        <f>IF(F130="","",ROW()-19-COUNTBLANK($F$20:F130))</f>
        <v>99</v>
      </c>
      <c r="B130" s="4" t="s">
        <v>334</v>
      </c>
      <c r="C130" s="4" t="s">
        <v>335</v>
      </c>
      <c r="D130" s="4" t="s">
        <v>336</v>
      </c>
      <c r="E130" s="7" t="s">
        <v>337</v>
      </c>
      <c r="F130" s="7" t="s">
        <v>338</v>
      </c>
      <c r="G130" s="3" t="s">
        <v>55</v>
      </c>
      <c r="H130" s="3"/>
      <c r="I130" s="3"/>
      <c r="J130" s="3"/>
      <c r="K130" s="3"/>
      <c r="L130" s="3"/>
      <c r="M130" s="3"/>
      <c r="N130" s="3"/>
      <c r="O130" s="3"/>
      <c r="P130" s="3"/>
      <c r="Q130" s="3"/>
    </row>
    <row r="131" spans="1:17" ht="60" customHeight="1" x14ac:dyDescent="0.25">
      <c r="A131" s="9">
        <f>IF(F131="","",ROW()-19-COUNTBLANK($F$20:F131))</f>
        <v>100</v>
      </c>
      <c r="B131" s="4" t="s">
        <v>339</v>
      </c>
      <c r="C131" s="4" t="s">
        <v>340</v>
      </c>
      <c r="D131" s="4" t="s">
        <v>341</v>
      </c>
      <c r="E131" s="7" t="s">
        <v>342</v>
      </c>
      <c r="F131" s="7" t="s">
        <v>343</v>
      </c>
      <c r="G131" s="3" t="s">
        <v>55</v>
      </c>
      <c r="H131" s="3"/>
      <c r="I131" s="3"/>
      <c r="J131" s="3"/>
      <c r="K131" s="3"/>
      <c r="L131" s="3"/>
      <c r="M131" s="3"/>
      <c r="N131" s="3"/>
      <c r="O131" s="3"/>
      <c r="P131" s="3"/>
      <c r="Q131" s="3"/>
    </row>
    <row r="132" spans="1:17" ht="60" customHeight="1" x14ac:dyDescent="0.25">
      <c r="A132" s="9">
        <f>IF(F132="","",ROW()-19-COUNTBLANK($F$20:F132))</f>
        <v>101</v>
      </c>
      <c r="B132" s="4" t="s">
        <v>344</v>
      </c>
      <c r="C132" s="4" t="s">
        <v>345</v>
      </c>
      <c r="D132" s="4" t="s">
        <v>346</v>
      </c>
      <c r="E132" s="7" t="s">
        <v>337</v>
      </c>
      <c r="F132" s="7" t="s">
        <v>347</v>
      </c>
      <c r="G132" s="3" t="s">
        <v>55</v>
      </c>
      <c r="H132" s="3"/>
      <c r="I132" s="3"/>
      <c r="J132" s="3"/>
      <c r="K132" s="3"/>
      <c r="L132" s="3"/>
      <c r="M132" s="3"/>
      <c r="N132" s="3"/>
      <c r="O132" s="3"/>
      <c r="P132" s="3"/>
      <c r="Q132" s="3"/>
    </row>
    <row r="133" spans="1:17" ht="60" customHeight="1" x14ac:dyDescent="0.25">
      <c r="A133" s="9">
        <f>IF(F133="","",ROW()-19-COUNTBLANK($F$20:F133))</f>
        <v>102</v>
      </c>
      <c r="B133" s="4" t="s">
        <v>348</v>
      </c>
      <c r="C133" s="4" t="s">
        <v>349</v>
      </c>
      <c r="D133" s="4" t="s">
        <v>350</v>
      </c>
      <c r="E133" s="7" t="s">
        <v>351</v>
      </c>
      <c r="F133" s="7" t="s">
        <v>352</v>
      </c>
      <c r="G133" s="3" t="s">
        <v>55</v>
      </c>
      <c r="H133" s="3"/>
      <c r="I133" s="3"/>
      <c r="J133" s="3"/>
      <c r="K133" s="3"/>
      <c r="L133" s="3"/>
      <c r="M133" s="3"/>
      <c r="N133" s="3"/>
      <c r="O133" s="3"/>
      <c r="P133" s="3"/>
      <c r="Q133" s="3"/>
    </row>
    <row r="134" spans="1:17" ht="20.100000000000001" customHeight="1" x14ac:dyDescent="0.25">
      <c r="A134" s="9" t="str">
        <f>IF(F134="","",ROW()-19-COUNTBLANK($F$20:F134))</f>
        <v/>
      </c>
      <c r="B134" s="12" t="s">
        <v>353</v>
      </c>
      <c r="C134" s="12"/>
      <c r="D134" s="12"/>
      <c r="E134" s="12"/>
      <c r="F134" s="12"/>
      <c r="G134" s="12"/>
      <c r="H134" s="12"/>
      <c r="I134" s="12"/>
      <c r="J134" s="12"/>
      <c r="K134" s="12"/>
      <c r="L134" s="12"/>
      <c r="M134" s="12"/>
      <c r="N134" s="12"/>
      <c r="O134" s="12"/>
      <c r="P134" s="12"/>
      <c r="Q134" s="12"/>
    </row>
    <row r="135" spans="1:17" ht="60" customHeight="1" x14ac:dyDescent="0.25">
      <c r="A135" s="9">
        <f>IF(F135="","",ROW()-19-COUNTBLANK($F$20:F135))</f>
        <v>103</v>
      </c>
      <c r="B135" s="4" t="s">
        <v>114</v>
      </c>
      <c r="C135" s="4" t="s">
        <v>354</v>
      </c>
      <c r="D135" s="4"/>
      <c r="E135" s="7" t="s">
        <v>355</v>
      </c>
      <c r="F135" s="7" t="s">
        <v>356</v>
      </c>
      <c r="G135" s="3" t="s">
        <v>55</v>
      </c>
      <c r="H135" s="3"/>
      <c r="I135" s="3"/>
      <c r="J135" s="3"/>
      <c r="K135" s="3"/>
      <c r="L135" s="3"/>
      <c r="M135" s="3"/>
      <c r="N135" s="3"/>
      <c r="O135" s="3"/>
      <c r="P135" s="3"/>
      <c r="Q135" s="3"/>
    </row>
    <row r="136" spans="1:17" ht="60" customHeight="1" x14ac:dyDescent="0.25">
      <c r="A136" s="9">
        <f>IF(F136="","",ROW()-19-COUNTBLANK($F$20:F136))</f>
        <v>104</v>
      </c>
      <c r="B136" s="4" t="s">
        <v>118</v>
      </c>
      <c r="C136" s="4" t="s">
        <v>357</v>
      </c>
      <c r="D136" s="4"/>
      <c r="E136" s="7" t="s">
        <v>358</v>
      </c>
      <c r="F136" s="7" t="s">
        <v>359</v>
      </c>
      <c r="G136" s="3" t="s">
        <v>55</v>
      </c>
      <c r="H136" s="3"/>
      <c r="I136" s="3"/>
      <c r="J136" s="3"/>
      <c r="K136" s="3"/>
      <c r="L136" s="3"/>
      <c r="M136" s="3"/>
      <c r="N136" s="3"/>
      <c r="O136" s="3"/>
      <c r="P136" s="3"/>
      <c r="Q136" s="3"/>
    </row>
    <row r="137" spans="1:17" ht="60" customHeight="1" x14ac:dyDescent="0.25">
      <c r="A137" s="9">
        <f>IF(F137="","",ROW()-19-COUNTBLANK($F$20:F137))</f>
        <v>105</v>
      </c>
      <c r="B137" s="4" t="s">
        <v>122</v>
      </c>
      <c r="C137" s="4" t="s">
        <v>360</v>
      </c>
      <c r="D137" s="4"/>
      <c r="E137" s="7" t="s">
        <v>361</v>
      </c>
      <c r="F137" s="7" t="s">
        <v>362</v>
      </c>
      <c r="G137" s="3" t="s">
        <v>55</v>
      </c>
      <c r="H137" s="3"/>
      <c r="I137" s="3"/>
      <c r="J137" s="3"/>
      <c r="K137" s="3"/>
      <c r="L137" s="3"/>
      <c r="M137" s="3"/>
      <c r="N137" s="3"/>
      <c r="O137" s="3"/>
      <c r="P137" s="3"/>
      <c r="Q137" s="3"/>
    </row>
    <row r="138" spans="1:17" ht="20.100000000000001" customHeight="1" x14ac:dyDescent="0.25">
      <c r="A138" s="9" t="str">
        <f>IF(F138="","",ROW()-19-COUNTBLANK($F$20:F138))</f>
        <v/>
      </c>
      <c r="B138" s="12" t="s">
        <v>363</v>
      </c>
      <c r="C138" s="12"/>
      <c r="D138" s="12"/>
      <c r="E138" s="12"/>
      <c r="F138" s="12"/>
      <c r="G138" s="12"/>
      <c r="H138" s="12"/>
      <c r="I138" s="12"/>
      <c r="J138" s="12"/>
      <c r="K138" s="12"/>
      <c r="L138" s="12"/>
      <c r="M138" s="12"/>
      <c r="N138" s="12"/>
      <c r="O138" s="12"/>
      <c r="P138" s="12"/>
      <c r="Q138" s="12"/>
    </row>
    <row r="139" spans="1:17" ht="60" customHeight="1" x14ac:dyDescent="0.25">
      <c r="A139" s="9">
        <f>IF(F139="","",ROW()-19-COUNTBLANK($F$20:F139))</f>
        <v>106</v>
      </c>
      <c r="B139" s="4" t="s">
        <v>114</v>
      </c>
      <c r="C139" s="4" t="s">
        <v>364</v>
      </c>
      <c r="D139" s="4"/>
      <c r="E139" s="7" t="s">
        <v>365</v>
      </c>
      <c r="F139" s="7" t="s">
        <v>366</v>
      </c>
      <c r="G139" s="3" t="s">
        <v>55</v>
      </c>
      <c r="H139" s="3"/>
      <c r="I139" s="3"/>
      <c r="J139" s="3"/>
      <c r="K139" s="3"/>
      <c r="L139" s="3"/>
      <c r="M139" s="3"/>
      <c r="N139" s="3"/>
      <c r="O139" s="3"/>
      <c r="P139" s="3"/>
      <c r="Q139" s="3"/>
    </row>
    <row r="140" spans="1:17" ht="60" customHeight="1" x14ac:dyDescent="0.25">
      <c r="A140" s="9">
        <f>IF(F140="","",ROW()-19-COUNTBLANK($F$20:F140))</f>
        <v>107</v>
      </c>
      <c r="B140" s="4" t="s">
        <v>118</v>
      </c>
      <c r="C140" s="4" t="s">
        <v>367</v>
      </c>
      <c r="D140" s="4"/>
      <c r="E140" s="7" t="s">
        <v>368</v>
      </c>
      <c r="F140" s="7" t="s">
        <v>359</v>
      </c>
      <c r="G140" s="3" t="s">
        <v>55</v>
      </c>
      <c r="H140" s="3"/>
      <c r="I140" s="3"/>
      <c r="J140" s="3"/>
      <c r="K140" s="3"/>
      <c r="L140" s="3"/>
      <c r="M140" s="3"/>
      <c r="N140" s="3"/>
      <c r="O140" s="3"/>
      <c r="P140" s="3"/>
      <c r="Q140" s="3"/>
    </row>
    <row r="141" spans="1:17" ht="60" customHeight="1" x14ac:dyDescent="0.25">
      <c r="A141" s="9">
        <f>IF(F141="","",ROW()-19-COUNTBLANK($F$20:F141))</f>
        <v>108</v>
      </c>
      <c r="B141" s="4" t="s">
        <v>122</v>
      </c>
      <c r="C141" s="4" t="s">
        <v>369</v>
      </c>
      <c r="D141" s="4"/>
      <c r="E141" s="7" t="s">
        <v>370</v>
      </c>
      <c r="F141" s="7" t="s">
        <v>371</v>
      </c>
      <c r="G141" s="3" t="s">
        <v>55</v>
      </c>
      <c r="H141" s="3"/>
      <c r="I141" s="3"/>
      <c r="J141" s="3"/>
      <c r="K141" s="3"/>
      <c r="L141" s="3"/>
      <c r="M141" s="3"/>
      <c r="N141" s="3"/>
      <c r="O141" s="3"/>
      <c r="P141" s="3"/>
      <c r="Q141" s="3"/>
    </row>
    <row r="142" spans="1:17" ht="20.100000000000001" customHeight="1" x14ac:dyDescent="0.25">
      <c r="A142" s="9" t="str">
        <f>IF(F142="","",ROW()-19-COUNTBLANK($F$20:F142))</f>
        <v/>
      </c>
      <c r="B142" s="12" t="s">
        <v>372</v>
      </c>
      <c r="C142" s="12"/>
      <c r="D142" s="12"/>
      <c r="E142" s="12"/>
      <c r="F142" s="12"/>
      <c r="G142" s="12"/>
      <c r="H142" s="12"/>
      <c r="I142" s="12"/>
      <c r="J142" s="12"/>
      <c r="K142" s="12"/>
      <c r="L142" s="12"/>
      <c r="M142" s="12"/>
      <c r="N142" s="12"/>
      <c r="O142" s="12"/>
      <c r="P142" s="12"/>
      <c r="Q142" s="12"/>
    </row>
    <row r="143" spans="1:17" ht="60" customHeight="1" x14ac:dyDescent="0.25">
      <c r="A143" s="9">
        <f>IF(F143="","",ROW()-19-COUNTBLANK($F$20:F143))</f>
        <v>109</v>
      </c>
      <c r="B143" s="4" t="s">
        <v>114</v>
      </c>
      <c r="C143" s="4" t="s">
        <v>373</v>
      </c>
      <c r="D143" s="4"/>
      <c r="E143" s="7" t="s">
        <v>374</v>
      </c>
      <c r="F143" s="7" t="s">
        <v>375</v>
      </c>
      <c r="G143" s="3" t="s">
        <v>55</v>
      </c>
      <c r="H143" s="3"/>
      <c r="I143" s="3"/>
      <c r="J143" s="3"/>
      <c r="K143" s="3"/>
      <c r="L143" s="3"/>
      <c r="M143" s="3"/>
      <c r="N143" s="3"/>
      <c r="O143" s="3"/>
      <c r="P143" s="3"/>
      <c r="Q143" s="3"/>
    </row>
    <row r="144" spans="1:17" ht="60" customHeight="1" x14ac:dyDescent="0.25">
      <c r="A144" s="9">
        <f>IF(F144="","",ROW()-19-COUNTBLANK($F$20:F144))</f>
        <v>110</v>
      </c>
      <c r="B144" s="4" t="s">
        <v>118</v>
      </c>
      <c r="C144" s="4" t="s">
        <v>376</v>
      </c>
      <c r="D144" s="4"/>
      <c r="E144" s="7" t="s">
        <v>377</v>
      </c>
      <c r="F144" s="7" t="s">
        <v>359</v>
      </c>
      <c r="G144" s="3" t="s">
        <v>55</v>
      </c>
      <c r="H144" s="3"/>
      <c r="I144" s="3"/>
      <c r="J144" s="3"/>
      <c r="K144" s="3"/>
      <c r="L144" s="3"/>
      <c r="M144" s="3"/>
      <c r="N144" s="3"/>
      <c r="O144" s="3"/>
      <c r="P144" s="3"/>
      <c r="Q144" s="3"/>
    </row>
    <row r="145" spans="1:17" ht="60" customHeight="1" x14ac:dyDescent="0.25">
      <c r="A145" s="9">
        <f>IF(F145="","",ROW()-19-COUNTBLANK($F$20:F145))</f>
        <v>111</v>
      </c>
      <c r="B145" s="4" t="s">
        <v>122</v>
      </c>
      <c r="C145" s="4" t="s">
        <v>378</v>
      </c>
      <c r="D145" s="4"/>
      <c r="E145" s="7" t="s">
        <v>379</v>
      </c>
      <c r="F145" s="7" t="s">
        <v>380</v>
      </c>
      <c r="G145" s="3" t="s">
        <v>55</v>
      </c>
      <c r="H145" s="3"/>
      <c r="I145" s="3"/>
      <c r="J145" s="3"/>
      <c r="K145" s="3"/>
      <c r="L145" s="3"/>
      <c r="M145" s="3"/>
      <c r="N145" s="3"/>
      <c r="O145" s="3"/>
      <c r="P145" s="3"/>
      <c r="Q145" s="3"/>
    </row>
    <row r="146" spans="1:17" ht="20.100000000000001" customHeight="1" x14ac:dyDescent="0.25">
      <c r="A146" s="9" t="str">
        <f>IF(F146="","",ROW()-19-COUNTBLANK($F$20:F146))</f>
        <v/>
      </c>
      <c r="B146" s="12" t="s">
        <v>381</v>
      </c>
      <c r="C146" s="12"/>
      <c r="D146" s="12"/>
      <c r="E146" s="12"/>
      <c r="F146" s="12"/>
      <c r="G146" s="12"/>
      <c r="H146" s="12"/>
      <c r="I146" s="12"/>
      <c r="J146" s="12"/>
      <c r="K146" s="12"/>
      <c r="L146" s="12"/>
      <c r="M146" s="12"/>
      <c r="N146" s="12"/>
      <c r="O146" s="12"/>
      <c r="P146" s="12"/>
      <c r="Q146" s="12"/>
    </row>
    <row r="147" spans="1:17" ht="60" customHeight="1" x14ac:dyDescent="0.25">
      <c r="A147" s="9">
        <f>IF(F147="","",ROW()-19-COUNTBLANK($F$20:F147))</f>
        <v>112</v>
      </c>
      <c r="B147" s="4" t="s">
        <v>114</v>
      </c>
      <c r="C147" s="4" t="s">
        <v>382</v>
      </c>
      <c r="D147" s="4"/>
      <c r="E147" s="7" t="s">
        <v>383</v>
      </c>
      <c r="F147" s="7" t="s">
        <v>384</v>
      </c>
      <c r="G147" s="3" t="s">
        <v>55</v>
      </c>
      <c r="H147" s="3"/>
      <c r="I147" s="3"/>
      <c r="J147" s="3"/>
      <c r="K147" s="3"/>
      <c r="L147" s="3"/>
      <c r="M147" s="3"/>
      <c r="N147" s="3"/>
      <c r="O147" s="3"/>
      <c r="P147" s="3"/>
      <c r="Q147" s="3"/>
    </row>
    <row r="148" spans="1:17" ht="60" customHeight="1" x14ac:dyDescent="0.25">
      <c r="A148" s="9">
        <f>IF(F148="","",ROW()-19-COUNTBLANK($F$20:F148))</f>
        <v>113</v>
      </c>
      <c r="B148" s="4" t="s">
        <v>118</v>
      </c>
      <c r="C148" s="4" t="s">
        <v>385</v>
      </c>
      <c r="D148" s="4"/>
      <c r="E148" s="7" t="s">
        <v>386</v>
      </c>
      <c r="F148" s="7" t="s">
        <v>121</v>
      </c>
      <c r="G148" s="3" t="s">
        <v>55</v>
      </c>
      <c r="H148" s="3"/>
      <c r="I148" s="3"/>
      <c r="J148" s="3"/>
      <c r="K148" s="3"/>
      <c r="L148" s="3"/>
      <c r="M148" s="3"/>
      <c r="N148" s="3"/>
      <c r="O148" s="3"/>
      <c r="P148" s="3"/>
      <c r="Q148" s="3"/>
    </row>
    <row r="149" spans="1:17" ht="60" customHeight="1" x14ac:dyDescent="0.25">
      <c r="A149" s="9">
        <f>IF(F149="","",ROW()-19-COUNTBLANK($F$20:F149))</f>
        <v>114</v>
      </c>
      <c r="B149" s="4" t="s">
        <v>122</v>
      </c>
      <c r="C149" s="4" t="s">
        <v>387</v>
      </c>
      <c r="D149" s="4"/>
      <c r="E149" s="7" t="s">
        <v>388</v>
      </c>
      <c r="F149" s="7" t="s">
        <v>389</v>
      </c>
      <c r="G149" s="3" t="s">
        <v>55</v>
      </c>
      <c r="H149" s="3"/>
      <c r="I149" s="3"/>
      <c r="J149" s="3"/>
      <c r="K149" s="3"/>
      <c r="L149" s="3"/>
      <c r="M149" s="3"/>
      <c r="N149" s="3"/>
      <c r="O149" s="3"/>
      <c r="P149" s="3"/>
      <c r="Q149" s="3"/>
    </row>
    <row r="150" spans="1:17" ht="20.100000000000001" customHeight="1" x14ac:dyDescent="0.25">
      <c r="A150" s="9" t="str">
        <f>IF(F150="","",ROW()-19-COUNTBLANK($F$20:F150))</f>
        <v/>
      </c>
      <c r="B150" s="12" t="s">
        <v>390</v>
      </c>
      <c r="C150" s="12"/>
      <c r="D150" s="12"/>
      <c r="E150" s="12"/>
      <c r="F150" s="12"/>
      <c r="G150" s="12"/>
      <c r="H150" s="12"/>
      <c r="I150" s="12"/>
      <c r="J150" s="12"/>
      <c r="K150" s="12"/>
      <c r="L150" s="12"/>
      <c r="M150" s="12"/>
      <c r="N150" s="12"/>
      <c r="O150" s="12"/>
      <c r="P150" s="12"/>
      <c r="Q150" s="12"/>
    </row>
    <row r="151" spans="1:17" ht="60" customHeight="1" x14ac:dyDescent="0.25">
      <c r="A151" s="9">
        <f>IF(F151="","",ROW()-19-COUNTBLANK($F$20:F151))</f>
        <v>115</v>
      </c>
      <c r="B151" s="4" t="s">
        <v>391</v>
      </c>
      <c r="C151" s="4" t="s">
        <v>392</v>
      </c>
      <c r="D151" s="4"/>
      <c r="E151" s="7" t="s">
        <v>393</v>
      </c>
      <c r="F151" s="7" t="s">
        <v>394</v>
      </c>
      <c r="G151" s="3" t="s">
        <v>50</v>
      </c>
      <c r="H151" s="3"/>
      <c r="I151" s="3"/>
      <c r="J151" s="3"/>
      <c r="K151" s="3"/>
      <c r="L151" s="3"/>
      <c r="M151" s="3"/>
      <c r="N151" s="3"/>
      <c r="O151" s="3"/>
      <c r="P151" s="3"/>
      <c r="Q151" s="3"/>
    </row>
    <row r="152" spans="1:17" ht="60" customHeight="1" x14ac:dyDescent="0.25">
      <c r="A152" s="9">
        <f>IF(F152="","",ROW()-19-COUNTBLANK($F$20:F152))</f>
        <v>116</v>
      </c>
      <c r="B152" s="17" t="s">
        <v>395</v>
      </c>
      <c r="C152" s="4" t="s">
        <v>243</v>
      </c>
      <c r="D152" s="4"/>
      <c r="E152" s="7" t="s">
        <v>396</v>
      </c>
      <c r="F152" s="7" t="s">
        <v>227</v>
      </c>
      <c r="G152" s="3" t="s">
        <v>50</v>
      </c>
      <c r="H152" s="3"/>
      <c r="I152" s="3"/>
      <c r="J152" s="3"/>
      <c r="K152" s="3"/>
      <c r="L152" s="3"/>
      <c r="M152" s="3"/>
      <c r="N152" s="3"/>
      <c r="O152" s="3"/>
      <c r="P152" s="3"/>
      <c r="Q152" s="3"/>
    </row>
    <row r="153" spans="1:17" ht="60" customHeight="1" x14ac:dyDescent="0.25">
      <c r="A153" s="9">
        <f>IF(F153="","",ROW()-19-COUNTBLANK($F$20:F153))</f>
        <v>117</v>
      </c>
      <c r="B153" s="18"/>
      <c r="C153" s="4" t="s">
        <v>233</v>
      </c>
      <c r="D153" s="4"/>
      <c r="E153" s="7" t="s">
        <v>397</v>
      </c>
      <c r="F153" s="7" t="s">
        <v>227</v>
      </c>
      <c r="G153" s="3" t="s">
        <v>50</v>
      </c>
      <c r="H153" s="3"/>
      <c r="I153" s="3"/>
      <c r="J153" s="3"/>
      <c r="K153" s="3"/>
      <c r="L153" s="3"/>
      <c r="M153" s="3"/>
      <c r="N153" s="3"/>
      <c r="O153" s="3"/>
      <c r="P153" s="3"/>
      <c r="Q153" s="3"/>
    </row>
    <row r="154" spans="1:17" ht="60" customHeight="1" x14ac:dyDescent="0.25">
      <c r="A154" s="9">
        <f>IF(F154="","",ROW()-19-COUNTBLANK($F$20:F154))</f>
        <v>118</v>
      </c>
      <c r="B154" s="18"/>
      <c r="C154" s="4" t="s">
        <v>228</v>
      </c>
      <c r="D154" s="4"/>
      <c r="E154" s="7" t="s">
        <v>398</v>
      </c>
      <c r="F154" s="7" t="s">
        <v>227</v>
      </c>
      <c r="G154" s="3" t="s">
        <v>50</v>
      </c>
      <c r="H154" s="3"/>
      <c r="I154" s="3"/>
      <c r="J154" s="3"/>
      <c r="K154" s="3"/>
      <c r="L154" s="3"/>
      <c r="M154" s="3"/>
      <c r="N154" s="3"/>
      <c r="O154" s="3"/>
      <c r="P154" s="3"/>
      <c r="Q154" s="3"/>
    </row>
    <row r="155" spans="1:17" ht="60" customHeight="1" x14ac:dyDescent="0.25">
      <c r="A155" s="9">
        <f>IF(F155="","",ROW()-19-COUNTBLANK($F$20:F155))</f>
        <v>119</v>
      </c>
      <c r="B155" s="18"/>
      <c r="C155" s="4" t="s">
        <v>245</v>
      </c>
      <c r="D155" s="4"/>
      <c r="E155" s="7" t="s">
        <v>399</v>
      </c>
      <c r="F155" s="7" t="s">
        <v>400</v>
      </c>
      <c r="G155" s="3" t="s">
        <v>55</v>
      </c>
      <c r="H155" s="3"/>
      <c r="I155" s="3"/>
      <c r="J155" s="3"/>
      <c r="K155" s="3"/>
      <c r="L155" s="3"/>
      <c r="M155" s="3"/>
      <c r="N155" s="3"/>
      <c r="O155" s="3"/>
      <c r="P155" s="3"/>
      <c r="Q155" s="3"/>
    </row>
    <row r="156" spans="1:17" ht="60" customHeight="1" x14ac:dyDescent="0.25">
      <c r="A156" s="9">
        <f>IF(F156="","",ROW()-19-COUNTBLANK($F$20:F156))</f>
        <v>120</v>
      </c>
      <c r="B156" s="18"/>
      <c r="C156" s="4" t="s">
        <v>231</v>
      </c>
      <c r="D156" s="4"/>
      <c r="E156" s="7" t="s">
        <v>401</v>
      </c>
      <c r="F156" s="7" t="s">
        <v>402</v>
      </c>
      <c r="G156" s="3" t="s">
        <v>55</v>
      </c>
      <c r="H156" s="3"/>
      <c r="I156" s="3"/>
      <c r="J156" s="3"/>
      <c r="K156" s="3"/>
      <c r="L156" s="3"/>
      <c r="M156" s="3"/>
      <c r="N156" s="3"/>
      <c r="O156" s="3"/>
      <c r="P156" s="3"/>
      <c r="Q156" s="3"/>
    </row>
    <row r="157" spans="1:17" ht="60" customHeight="1" x14ac:dyDescent="0.25">
      <c r="A157" s="9">
        <f>IF(F157="","",ROW()-19-COUNTBLANK($F$20:F157))</f>
        <v>121</v>
      </c>
      <c r="B157" s="18"/>
      <c r="C157" s="4" t="s">
        <v>235</v>
      </c>
      <c r="D157" s="4"/>
      <c r="E157" s="7" t="s">
        <v>403</v>
      </c>
      <c r="F157" s="7" t="s">
        <v>404</v>
      </c>
      <c r="G157" s="3" t="s">
        <v>55</v>
      </c>
      <c r="H157" s="3"/>
      <c r="I157" s="3"/>
      <c r="J157" s="3"/>
      <c r="K157" s="3"/>
      <c r="L157" s="3"/>
      <c r="M157" s="3"/>
      <c r="N157" s="3"/>
      <c r="O157" s="3"/>
      <c r="P157" s="3"/>
      <c r="Q157" s="3"/>
    </row>
    <row r="158" spans="1:17" ht="60" customHeight="1" x14ac:dyDescent="0.25">
      <c r="A158" s="9">
        <f>IF(F158="","",ROW()-19-COUNTBLANK($F$20:F158))</f>
        <v>122</v>
      </c>
      <c r="B158" s="18"/>
      <c r="C158" s="4" t="s">
        <v>247</v>
      </c>
      <c r="D158" s="4"/>
      <c r="E158" s="7" t="s">
        <v>405</v>
      </c>
      <c r="F158" s="7" t="s">
        <v>406</v>
      </c>
      <c r="G158" s="3" t="s">
        <v>55</v>
      </c>
      <c r="H158" s="3"/>
      <c r="I158" s="3"/>
      <c r="J158" s="3"/>
      <c r="K158" s="3"/>
      <c r="L158" s="3"/>
      <c r="M158" s="3"/>
      <c r="N158" s="3"/>
      <c r="O158" s="3"/>
      <c r="P158" s="3"/>
      <c r="Q158" s="3"/>
    </row>
    <row r="159" spans="1:17" ht="60" customHeight="1" x14ac:dyDescent="0.25">
      <c r="A159" s="9">
        <f>IF(F159="","",ROW()-19-COUNTBLANK($F$20:F159))</f>
        <v>123</v>
      </c>
      <c r="B159" s="18"/>
      <c r="C159" s="4" t="s">
        <v>249</v>
      </c>
      <c r="D159" s="4"/>
      <c r="E159" s="7" t="s">
        <v>407</v>
      </c>
      <c r="F159" s="7" t="s">
        <v>408</v>
      </c>
      <c r="G159" s="3" t="s">
        <v>55</v>
      </c>
      <c r="H159" s="3"/>
      <c r="I159" s="3"/>
      <c r="J159" s="3"/>
      <c r="K159" s="3"/>
      <c r="L159" s="3"/>
      <c r="M159" s="3"/>
      <c r="N159" s="3"/>
      <c r="O159" s="3"/>
      <c r="P159" s="3"/>
      <c r="Q159" s="3"/>
    </row>
    <row r="160" spans="1:17" ht="60" customHeight="1" x14ac:dyDescent="0.25">
      <c r="A160" s="9">
        <f>IF(F160="","",ROW()-19-COUNTBLANK($F$20:F160))</f>
        <v>124</v>
      </c>
      <c r="B160" s="18"/>
      <c r="C160" s="4" t="s">
        <v>253</v>
      </c>
      <c r="D160" s="4"/>
      <c r="E160" s="7" t="s">
        <v>409</v>
      </c>
      <c r="F160" s="7" t="s">
        <v>410</v>
      </c>
      <c r="G160" s="3" t="s">
        <v>55</v>
      </c>
      <c r="H160" s="3"/>
      <c r="I160" s="3"/>
      <c r="J160" s="3"/>
      <c r="K160" s="3"/>
      <c r="L160" s="3"/>
      <c r="M160" s="3"/>
      <c r="N160" s="3"/>
      <c r="O160" s="3"/>
      <c r="P160" s="3"/>
      <c r="Q160" s="3"/>
    </row>
    <row r="161" spans="1:17" ht="60" customHeight="1" x14ac:dyDescent="0.25">
      <c r="A161" s="9">
        <f>IF(F161="","",ROW()-19-COUNTBLANK($F$20:F161))</f>
        <v>125</v>
      </c>
      <c r="B161" s="18"/>
      <c r="C161" s="4" t="s">
        <v>411</v>
      </c>
      <c r="D161" s="4"/>
      <c r="E161" s="7" t="s">
        <v>412</v>
      </c>
      <c r="F161" s="7" t="s">
        <v>413</v>
      </c>
      <c r="G161" s="3" t="s">
        <v>55</v>
      </c>
      <c r="H161" s="3"/>
      <c r="I161" s="3"/>
      <c r="J161" s="3"/>
      <c r="K161" s="3"/>
      <c r="L161" s="3"/>
      <c r="M161" s="3"/>
      <c r="N161" s="3"/>
      <c r="O161" s="3"/>
      <c r="P161" s="3"/>
      <c r="Q161" s="3"/>
    </row>
    <row r="162" spans="1:17" ht="60" customHeight="1" x14ac:dyDescent="0.25">
      <c r="A162" s="9">
        <f>IF(F162="","",ROW()-19-COUNTBLANK($F$20:F162))</f>
        <v>126</v>
      </c>
      <c r="B162" s="18"/>
      <c r="C162" s="4" t="s">
        <v>414</v>
      </c>
      <c r="D162" s="4"/>
      <c r="E162" s="7" t="s">
        <v>415</v>
      </c>
      <c r="F162" s="7" t="s">
        <v>416</v>
      </c>
      <c r="G162" s="3" t="s">
        <v>55</v>
      </c>
      <c r="H162" s="3"/>
      <c r="I162" s="3"/>
      <c r="J162" s="3"/>
      <c r="K162" s="3"/>
      <c r="L162" s="3"/>
      <c r="M162" s="3"/>
      <c r="N162" s="3"/>
      <c r="O162" s="3"/>
      <c r="P162" s="3"/>
      <c r="Q162" s="3"/>
    </row>
    <row r="163" spans="1:17" ht="60" customHeight="1" x14ac:dyDescent="0.25">
      <c r="A163" s="9">
        <f>IF(F163="","",ROW()-19-COUNTBLANK($F$20:F163))</f>
        <v>127</v>
      </c>
      <c r="B163" s="19"/>
      <c r="C163" s="4" t="s">
        <v>417</v>
      </c>
      <c r="D163" s="4"/>
      <c r="E163" s="7" t="s">
        <v>418</v>
      </c>
      <c r="F163" s="7" t="s">
        <v>419</v>
      </c>
      <c r="G163" s="3" t="s">
        <v>55</v>
      </c>
      <c r="H163" s="3"/>
      <c r="I163" s="3"/>
      <c r="J163" s="3"/>
      <c r="K163" s="3"/>
      <c r="L163" s="3"/>
      <c r="M163" s="3"/>
      <c r="N163" s="3"/>
      <c r="O163" s="3"/>
      <c r="P163" s="3"/>
      <c r="Q163" s="3"/>
    </row>
    <row r="164" spans="1:17" ht="20.100000000000001" customHeight="1" x14ac:dyDescent="0.25">
      <c r="A164" s="9" t="str">
        <f>IF(F164="","",ROW()-19-COUNTBLANK($F$20:F164))</f>
        <v/>
      </c>
      <c r="B164" s="12" t="s">
        <v>420</v>
      </c>
      <c r="C164" s="12"/>
      <c r="D164" s="12"/>
      <c r="E164" s="12"/>
      <c r="F164" s="12"/>
      <c r="G164" s="12"/>
      <c r="H164" s="12"/>
      <c r="I164" s="12"/>
      <c r="J164" s="12"/>
      <c r="K164" s="12"/>
      <c r="L164" s="12"/>
      <c r="M164" s="12"/>
      <c r="N164" s="12"/>
      <c r="O164" s="12"/>
      <c r="P164" s="12"/>
      <c r="Q164" s="12"/>
    </row>
    <row r="165" spans="1:17" ht="60" customHeight="1" x14ac:dyDescent="0.25">
      <c r="A165" s="9">
        <f>IF(F165="","",ROW()-19-COUNTBLANK($F$20:F165))</f>
        <v>128</v>
      </c>
      <c r="B165" s="4" t="s">
        <v>114</v>
      </c>
      <c r="C165" s="4" t="s">
        <v>421</v>
      </c>
      <c r="D165" s="4"/>
      <c r="E165" s="7" t="s">
        <v>422</v>
      </c>
      <c r="F165" s="7" t="s">
        <v>423</v>
      </c>
      <c r="G165" s="3" t="s">
        <v>55</v>
      </c>
      <c r="H165" s="3"/>
      <c r="I165" s="3"/>
      <c r="J165" s="3"/>
      <c r="K165" s="3"/>
      <c r="L165" s="3"/>
      <c r="M165" s="3"/>
      <c r="N165" s="3"/>
      <c r="O165" s="3"/>
      <c r="P165" s="3"/>
      <c r="Q165" s="3"/>
    </row>
    <row r="166" spans="1:17" ht="60" customHeight="1" x14ac:dyDescent="0.25">
      <c r="A166" s="9">
        <f>IF(F166="","",ROW()-19-COUNTBLANK($F$20:F166))</f>
        <v>129</v>
      </c>
      <c r="B166" s="4" t="s">
        <v>118</v>
      </c>
      <c r="C166" s="4" t="s">
        <v>424</v>
      </c>
      <c r="D166" s="4"/>
      <c r="E166" s="7" t="s">
        <v>425</v>
      </c>
      <c r="F166" s="7" t="s">
        <v>359</v>
      </c>
      <c r="G166" s="3" t="s">
        <v>55</v>
      </c>
      <c r="H166" s="3"/>
      <c r="I166" s="3"/>
      <c r="J166" s="3"/>
      <c r="K166" s="3"/>
      <c r="L166" s="3"/>
      <c r="M166" s="3"/>
      <c r="N166" s="3"/>
      <c r="O166" s="3"/>
      <c r="P166" s="3"/>
      <c r="Q166" s="3"/>
    </row>
    <row r="167" spans="1:17" ht="60" customHeight="1" x14ac:dyDescent="0.25">
      <c r="A167" s="9">
        <f>IF(F167="","",ROW()-19-COUNTBLANK($F$20:F167))</f>
        <v>130</v>
      </c>
      <c r="B167" s="4" t="s">
        <v>122</v>
      </c>
      <c r="C167" s="4" t="s">
        <v>426</v>
      </c>
      <c r="D167" s="4"/>
      <c r="E167" s="7" t="s">
        <v>427</v>
      </c>
      <c r="F167" s="7" t="s">
        <v>428</v>
      </c>
      <c r="G167" s="3" t="s">
        <v>50</v>
      </c>
      <c r="H167" s="3"/>
      <c r="I167" s="3"/>
      <c r="J167" s="3"/>
      <c r="K167" s="3"/>
      <c r="L167" s="3"/>
      <c r="M167" s="3"/>
      <c r="N167" s="3"/>
      <c r="O167" s="3"/>
      <c r="P167" s="3"/>
      <c r="Q167" s="3"/>
    </row>
    <row r="168" spans="1:17" ht="20.100000000000001" customHeight="1" x14ac:dyDescent="0.25">
      <c r="A168" s="9" t="str">
        <f>IF(F168="","",ROW()-19-COUNTBLANK($F$20:F168))</f>
        <v/>
      </c>
      <c r="B168" s="12" t="s">
        <v>429</v>
      </c>
      <c r="C168" s="12"/>
      <c r="D168" s="12"/>
      <c r="E168" s="12"/>
      <c r="F168" s="12"/>
      <c r="G168" s="12"/>
      <c r="H168" s="12"/>
      <c r="I168" s="12"/>
      <c r="J168" s="12"/>
      <c r="K168" s="12"/>
      <c r="L168" s="12"/>
      <c r="M168" s="12"/>
      <c r="N168" s="12"/>
      <c r="O168" s="12"/>
      <c r="P168" s="12"/>
      <c r="Q168" s="12"/>
    </row>
    <row r="169" spans="1:17" ht="60" customHeight="1" x14ac:dyDescent="0.25">
      <c r="A169" s="9">
        <f>IF(F169="","",ROW()-19-COUNTBLANK($F$20:F169))</f>
        <v>131</v>
      </c>
      <c r="B169" s="4" t="s">
        <v>114</v>
      </c>
      <c r="C169" s="4" t="s">
        <v>430</v>
      </c>
      <c r="D169" s="4"/>
      <c r="E169" s="7" t="s">
        <v>431</v>
      </c>
      <c r="F169" s="7" t="s">
        <v>432</v>
      </c>
      <c r="G169" s="3" t="s">
        <v>55</v>
      </c>
      <c r="H169" s="3"/>
      <c r="I169" s="3"/>
      <c r="J169" s="3"/>
      <c r="K169" s="3"/>
      <c r="L169" s="3"/>
      <c r="M169" s="3"/>
      <c r="N169" s="3"/>
      <c r="O169" s="3"/>
      <c r="P169" s="3"/>
      <c r="Q169" s="3"/>
    </row>
    <row r="170" spans="1:17" ht="60" customHeight="1" x14ac:dyDescent="0.25">
      <c r="A170" s="9">
        <f>IF(F170="","",ROW()-19-COUNTBLANK($F$20:F170))</f>
        <v>132</v>
      </c>
      <c r="B170" s="4" t="s">
        <v>118</v>
      </c>
      <c r="C170" s="4" t="s">
        <v>433</v>
      </c>
      <c r="D170" s="4"/>
      <c r="E170" s="7" t="s">
        <v>434</v>
      </c>
      <c r="F170" s="7" t="s">
        <v>359</v>
      </c>
      <c r="G170" s="3" t="s">
        <v>55</v>
      </c>
      <c r="H170" s="3"/>
      <c r="I170" s="3"/>
      <c r="J170" s="3"/>
      <c r="K170" s="3"/>
      <c r="L170" s="3"/>
      <c r="M170" s="3"/>
      <c r="N170" s="3"/>
      <c r="O170" s="3"/>
      <c r="P170" s="3"/>
      <c r="Q170" s="3"/>
    </row>
    <row r="171" spans="1:17" ht="60" customHeight="1" x14ac:dyDescent="0.25">
      <c r="A171" s="9">
        <f>IF(F171="","",ROW()-19-COUNTBLANK($F$20:F171))</f>
        <v>133</v>
      </c>
      <c r="B171" s="4" t="s">
        <v>122</v>
      </c>
      <c r="C171" s="4" t="s">
        <v>435</v>
      </c>
      <c r="D171" s="4"/>
      <c r="E171" s="7" t="s">
        <v>436</v>
      </c>
      <c r="F171" s="7" t="s">
        <v>437</v>
      </c>
      <c r="G171" s="3" t="s">
        <v>50</v>
      </c>
      <c r="H171" s="3"/>
      <c r="I171" s="3"/>
      <c r="J171" s="3"/>
      <c r="K171" s="3"/>
      <c r="L171" s="3"/>
      <c r="M171" s="3"/>
      <c r="N171" s="3"/>
      <c r="O171" s="3"/>
      <c r="P171" s="3"/>
      <c r="Q171" s="3"/>
    </row>
    <row r="172" spans="1:17" ht="20.100000000000001" customHeight="1" x14ac:dyDescent="0.25">
      <c r="A172" s="9" t="str">
        <f>IF(F172="","",ROW()-19-COUNTBLANK($F$20:F172))</f>
        <v/>
      </c>
      <c r="B172" s="12" t="s">
        <v>438</v>
      </c>
      <c r="C172" s="12"/>
      <c r="D172" s="12"/>
      <c r="E172" s="12"/>
      <c r="F172" s="12"/>
      <c r="G172" s="12"/>
      <c r="H172" s="12"/>
      <c r="I172" s="12"/>
      <c r="J172" s="12"/>
      <c r="K172" s="12"/>
      <c r="L172" s="12"/>
      <c r="M172" s="12"/>
      <c r="N172" s="12"/>
      <c r="O172" s="12"/>
      <c r="P172" s="12"/>
      <c r="Q172" s="12"/>
    </row>
    <row r="173" spans="1:17" ht="60" customHeight="1" x14ac:dyDescent="0.25">
      <c r="A173" s="9">
        <f>IF(F173="","",ROW()-19-COUNTBLANK($F$20:F173))</f>
        <v>134</v>
      </c>
      <c r="B173" s="4" t="s">
        <v>114</v>
      </c>
      <c r="C173" s="4" t="s">
        <v>439</v>
      </c>
      <c r="D173" s="4"/>
      <c r="E173" s="7" t="s">
        <v>440</v>
      </c>
      <c r="F173" s="7" t="s">
        <v>441</v>
      </c>
      <c r="G173" s="3" t="s">
        <v>55</v>
      </c>
      <c r="H173" s="3"/>
      <c r="I173" s="3"/>
      <c r="J173" s="3"/>
      <c r="K173" s="3"/>
      <c r="L173" s="3"/>
      <c r="M173" s="3"/>
      <c r="N173" s="3"/>
      <c r="O173" s="3"/>
      <c r="P173" s="3"/>
      <c r="Q173" s="3"/>
    </row>
    <row r="174" spans="1:17" ht="60" customHeight="1" x14ac:dyDescent="0.25">
      <c r="A174" s="9">
        <f>IF(F174="","",ROW()-19-COUNTBLANK($F$20:F174))</f>
        <v>135</v>
      </c>
      <c r="B174" s="4" t="s">
        <v>118</v>
      </c>
      <c r="C174" s="4" t="s">
        <v>442</v>
      </c>
      <c r="D174" s="4"/>
      <c r="E174" s="7" t="s">
        <v>443</v>
      </c>
      <c r="F174" s="7" t="s">
        <v>444</v>
      </c>
      <c r="G174" s="3" t="s">
        <v>55</v>
      </c>
      <c r="H174" s="3"/>
      <c r="I174" s="3"/>
      <c r="J174" s="3"/>
      <c r="K174" s="3"/>
      <c r="L174" s="3"/>
      <c r="M174" s="3"/>
      <c r="N174" s="3"/>
      <c r="O174" s="3"/>
      <c r="P174" s="3"/>
      <c r="Q174" s="3"/>
    </row>
    <row r="175" spans="1:17" ht="60" customHeight="1" x14ac:dyDescent="0.25">
      <c r="A175" s="9">
        <f>IF(F175="","",ROW()-19-COUNTBLANK($F$20:F175))</f>
        <v>136</v>
      </c>
      <c r="B175" s="4" t="s">
        <v>122</v>
      </c>
      <c r="C175" s="4" t="s">
        <v>445</v>
      </c>
      <c r="D175" s="4"/>
      <c r="E175" s="7" t="s">
        <v>446</v>
      </c>
      <c r="F175" s="7" t="s">
        <v>447</v>
      </c>
      <c r="G175" s="3" t="s">
        <v>50</v>
      </c>
      <c r="H175" s="3"/>
      <c r="I175" s="3"/>
      <c r="J175" s="3"/>
      <c r="K175" s="3"/>
      <c r="L175" s="3"/>
      <c r="M175" s="3"/>
      <c r="N175" s="3"/>
      <c r="O175" s="3"/>
      <c r="P175" s="3"/>
      <c r="Q175" s="3"/>
    </row>
    <row r="176" spans="1:17" ht="20.100000000000001" customHeight="1" x14ac:dyDescent="0.25">
      <c r="A176" s="9" t="str">
        <f>IF(F176="","",ROW()-19-COUNTBLANK($F$20:F176))</f>
        <v/>
      </c>
      <c r="B176" s="12" t="s">
        <v>448</v>
      </c>
      <c r="C176" s="12"/>
      <c r="D176" s="12"/>
      <c r="E176" s="12"/>
      <c r="F176" s="12"/>
      <c r="G176" s="12"/>
      <c r="H176" s="12"/>
      <c r="I176" s="12"/>
      <c r="J176" s="12"/>
      <c r="K176" s="12"/>
      <c r="L176" s="12"/>
      <c r="M176" s="12"/>
      <c r="N176" s="12"/>
      <c r="O176" s="12"/>
      <c r="P176" s="12"/>
      <c r="Q176" s="12"/>
    </row>
    <row r="177" spans="1:17" ht="60" customHeight="1" x14ac:dyDescent="0.25">
      <c r="A177" s="9">
        <f>IF(F177="","",ROW()-19-COUNTBLANK($F$20:F177))</f>
        <v>137</v>
      </c>
      <c r="B177" s="4" t="s">
        <v>114</v>
      </c>
      <c r="C177" s="4" t="s">
        <v>449</v>
      </c>
      <c r="D177" s="4"/>
      <c r="E177" s="7" t="s">
        <v>450</v>
      </c>
      <c r="F177" s="7" t="s">
        <v>451</v>
      </c>
      <c r="G177" s="3" t="s">
        <v>55</v>
      </c>
      <c r="H177" s="3"/>
      <c r="I177" s="3"/>
      <c r="J177" s="3"/>
      <c r="K177" s="3"/>
      <c r="L177" s="3"/>
      <c r="M177" s="3"/>
      <c r="N177" s="3"/>
      <c r="O177" s="3"/>
      <c r="P177" s="3"/>
      <c r="Q177" s="3"/>
    </row>
    <row r="178" spans="1:17" ht="60" customHeight="1" x14ac:dyDescent="0.25">
      <c r="A178" s="9">
        <f>IF(F178="","",ROW()-19-COUNTBLANK($F$20:F178))</f>
        <v>138</v>
      </c>
      <c r="B178" s="4" t="s">
        <v>118</v>
      </c>
      <c r="C178" s="4" t="s">
        <v>452</v>
      </c>
      <c r="D178" s="4"/>
      <c r="E178" s="7" t="s">
        <v>453</v>
      </c>
      <c r="F178" s="7" t="s">
        <v>454</v>
      </c>
      <c r="G178" s="3" t="s">
        <v>55</v>
      </c>
      <c r="H178" s="3"/>
      <c r="I178" s="3"/>
      <c r="J178" s="3"/>
      <c r="K178" s="3"/>
      <c r="L178" s="3"/>
      <c r="M178" s="3"/>
      <c r="N178" s="3"/>
      <c r="O178" s="3"/>
      <c r="P178" s="3"/>
      <c r="Q178" s="3"/>
    </row>
    <row r="179" spans="1:17" ht="60" customHeight="1" x14ac:dyDescent="0.25">
      <c r="A179" s="9">
        <f>IF(F179="","",ROW()-19-COUNTBLANK($F$20:F179))</f>
        <v>139</v>
      </c>
      <c r="B179" s="4" t="s">
        <v>122</v>
      </c>
      <c r="C179" s="4" t="s">
        <v>455</v>
      </c>
      <c r="D179" s="4"/>
      <c r="E179" s="7" t="s">
        <v>456</v>
      </c>
      <c r="F179" s="7" t="s">
        <v>457</v>
      </c>
      <c r="G179" s="3" t="s">
        <v>55</v>
      </c>
      <c r="H179" s="3"/>
      <c r="I179" s="3"/>
      <c r="J179" s="3"/>
      <c r="K179" s="3"/>
      <c r="L179" s="3"/>
      <c r="M179" s="3"/>
      <c r="N179" s="3"/>
      <c r="O179" s="3"/>
      <c r="P179" s="3"/>
      <c r="Q179" s="3"/>
    </row>
    <row r="180" spans="1:17" ht="20.100000000000001" customHeight="1" x14ac:dyDescent="0.25">
      <c r="A180" s="9" t="str">
        <f>IF(F180="","",ROW()-19-COUNTBLANK($F$20:F180))</f>
        <v/>
      </c>
      <c r="B180" s="12" t="s">
        <v>458</v>
      </c>
      <c r="C180" s="12"/>
      <c r="D180" s="12"/>
      <c r="E180" s="12"/>
      <c r="F180" s="12"/>
      <c r="G180" s="12"/>
      <c r="H180" s="12"/>
      <c r="I180" s="12"/>
      <c r="J180" s="12"/>
      <c r="K180" s="12"/>
      <c r="L180" s="12"/>
      <c r="M180" s="12"/>
      <c r="N180" s="12"/>
      <c r="O180" s="12"/>
      <c r="P180" s="12"/>
      <c r="Q180" s="12"/>
    </row>
    <row r="181" spans="1:17" ht="60" customHeight="1" x14ac:dyDescent="0.25">
      <c r="A181" s="9">
        <f>IF(F181="","",ROW()-19-COUNTBLANK($F$20:F181))</f>
        <v>140</v>
      </c>
      <c r="B181" s="4" t="s">
        <v>216</v>
      </c>
      <c r="C181" s="4" t="s">
        <v>459</v>
      </c>
      <c r="D181" s="4"/>
      <c r="E181" s="7" t="s">
        <v>460</v>
      </c>
      <c r="F181" s="7" t="s">
        <v>461</v>
      </c>
      <c r="G181" s="3" t="s">
        <v>55</v>
      </c>
      <c r="H181" s="3"/>
      <c r="I181" s="3"/>
      <c r="J181" s="3"/>
      <c r="K181" s="3"/>
      <c r="L181" s="3"/>
      <c r="M181" s="3"/>
      <c r="N181" s="3"/>
      <c r="O181" s="3"/>
      <c r="P181" s="3"/>
      <c r="Q181" s="3"/>
    </row>
    <row r="182" spans="1:17" ht="60" customHeight="1" x14ac:dyDescent="0.25">
      <c r="A182" s="9">
        <f>IF(F182="","",ROW()-19-COUNTBLANK($F$20:F182))</f>
        <v>141</v>
      </c>
      <c r="B182" s="4" t="s">
        <v>132</v>
      </c>
      <c r="C182" s="4" t="s">
        <v>462</v>
      </c>
      <c r="D182" s="4"/>
      <c r="E182" s="7" t="s">
        <v>463</v>
      </c>
      <c r="F182" s="7" t="s">
        <v>464</v>
      </c>
      <c r="G182" s="3" t="s">
        <v>50</v>
      </c>
      <c r="H182" s="3"/>
      <c r="I182" s="3"/>
      <c r="J182" s="3"/>
      <c r="K182" s="3"/>
      <c r="L182" s="3"/>
      <c r="M182" s="3"/>
      <c r="N182" s="3"/>
      <c r="O182" s="3"/>
      <c r="P182" s="3"/>
      <c r="Q182" s="3"/>
    </row>
    <row r="183" spans="1:17" ht="60" customHeight="1" x14ac:dyDescent="0.25">
      <c r="A183" s="9">
        <f>IF(F183="","",ROW()-19-COUNTBLANK($F$20:F183))</f>
        <v>142</v>
      </c>
      <c r="B183" s="4" t="s">
        <v>465</v>
      </c>
      <c r="C183" s="4" t="s">
        <v>466</v>
      </c>
      <c r="D183" s="4"/>
      <c r="E183" s="7" t="s">
        <v>467</v>
      </c>
      <c r="F183" s="7" t="s">
        <v>468</v>
      </c>
      <c r="G183" s="3" t="s">
        <v>73</v>
      </c>
      <c r="H183" s="3"/>
      <c r="I183" s="3"/>
      <c r="J183" s="3"/>
      <c r="K183" s="3"/>
      <c r="L183" s="3"/>
      <c r="M183" s="3"/>
      <c r="N183" s="3"/>
      <c r="O183" s="3"/>
      <c r="P183" s="3"/>
      <c r="Q183" s="3"/>
    </row>
    <row r="184" spans="1:17" ht="60" customHeight="1" x14ac:dyDescent="0.25">
      <c r="A184" s="9">
        <f>IF(F184="","",ROW()-19-COUNTBLANK($F$20:F184))</f>
        <v>143</v>
      </c>
      <c r="B184" s="4" t="s">
        <v>469</v>
      </c>
      <c r="C184" s="4" t="s">
        <v>470</v>
      </c>
      <c r="D184" s="4"/>
      <c r="E184" s="7" t="s">
        <v>471</v>
      </c>
      <c r="F184" s="7" t="s">
        <v>472</v>
      </c>
      <c r="G184" s="3" t="s">
        <v>50</v>
      </c>
      <c r="H184" s="3"/>
      <c r="I184" s="3"/>
      <c r="J184" s="3"/>
      <c r="K184" s="3"/>
      <c r="L184" s="3"/>
      <c r="M184" s="3"/>
      <c r="N184" s="3"/>
      <c r="O184" s="3"/>
      <c r="P184" s="3"/>
      <c r="Q184" s="3"/>
    </row>
    <row r="185" spans="1:17" ht="60" customHeight="1" x14ac:dyDescent="0.25">
      <c r="A185" s="9">
        <f>IF(F185="","",ROW()-19-COUNTBLANK($F$20:F185))</f>
        <v>144</v>
      </c>
      <c r="B185" s="4" t="s">
        <v>473</v>
      </c>
      <c r="C185" s="4" t="s">
        <v>474</v>
      </c>
      <c r="D185" s="4"/>
      <c r="E185" s="7" t="s">
        <v>475</v>
      </c>
      <c r="F185" s="7" t="s">
        <v>476</v>
      </c>
      <c r="G185" s="3" t="s">
        <v>50</v>
      </c>
      <c r="H185" s="3"/>
      <c r="I185" s="3"/>
      <c r="J185" s="3"/>
      <c r="K185" s="3"/>
      <c r="L185" s="3"/>
      <c r="M185" s="3"/>
      <c r="N185" s="3"/>
      <c r="O185" s="3"/>
      <c r="P185" s="3"/>
      <c r="Q185" s="3"/>
    </row>
    <row r="186" spans="1:17" ht="60" customHeight="1" x14ac:dyDescent="0.25">
      <c r="A186" s="9">
        <f>IF(F186="","",ROW()-19-COUNTBLANK($F$20:F186))</f>
        <v>145</v>
      </c>
      <c r="B186" s="4" t="s">
        <v>477</v>
      </c>
      <c r="C186" s="4" t="s">
        <v>478</v>
      </c>
      <c r="D186" s="4"/>
      <c r="E186" s="7" t="s">
        <v>479</v>
      </c>
      <c r="F186" s="7" t="s">
        <v>480</v>
      </c>
      <c r="G186" s="3" t="s">
        <v>55</v>
      </c>
      <c r="H186" s="3"/>
      <c r="I186" s="3"/>
      <c r="J186" s="3"/>
      <c r="K186" s="3"/>
      <c r="L186" s="3"/>
      <c r="M186" s="3"/>
      <c r="N186" s="3"/>
      <c r="O186" s="3"/>
      <c r="P186" s="3"/>
      <c r="Q186" s="3"/>
    </row>
    <row r="187" spans="1:17" ht="60" customHeight="1" x14ac:dyDescent="0.25">
      <c r="A187" s="9">
        <f>IF(F187="","",ROW()-19-COUNTBLANK($F$20:F187))</f>
        <v>146</v>
      </c>
      <c r="B187" s="17" t="s">
        <v>481</v>
      </c>
      <c r="C187" s="4" t="s">
        <v>482</v>
      </c>
      <c r="D187" s="4" t="s">
        <v>483</v>
      </c>
      <c r="E187" s="7" t="s">
        <v>484</v>
      </c>
      <c r="F187" s="7" t="s">
        <v>485</v>
      </c>
      <c r="G187" s="3" t="s">
        <v>73</v>
      </c>
      <c r="H187" s="3"/>
      <c r="I187" s="3"/>
      <c r="J187" s="3"/>
      <c r="K187" s="3"/>
      <c r="L187" s="3"/>
      <c r="M187" s="3"/>
      <c r="N187" s="3"/>
      <c r="O187" s="3"/>
      <c r="P187" s="3"/>
      <c r="Q187" s="3"/>
    </row>
    <row r="188" spans="1:17" ht="60" customHeight="1" x14ac:dyDescent="0.25">
      <c r="A188" s="9">
        <f>IF(F188="","",ROW()-19-COUNTBLANK($F$20:F188))</f>
        <v>147</v>
      </c>
      <c r="B188" s="18"/>
      <c r="C188" s="4" t="s">
        <v>486</v>
      </c>
      <c r="D188" s="4" t="s">
        <v>487</v>
      </c>
      <c r="E188" s="7" t="s">
        <v>484</v>
      </c>
      <c r="F188" s="7" t="s">
        <v>485</v>
      </c>
      <c r="G188" s="3" t="s">
        <v>73</v>
      </c>
      <c r="H188" s="3"/>
      <c r="I188" s="3"/>
      <c r="J188" s="3"/>
      <c r="K188" s="3"/>
      <c r="L188" s="3"/>
      <c r="M188" s="3"/>
      <c r="N188" s="3"/>
      <c r="O188" s="3"/>
      <c r="P188" s="3"/>
      <c r="Q188" s="3"/>
    </row>
    <row r="189" spans="1:17" ht="60" customHeight="1" x14ac:dyDescent="0.25">
      <c r="A189" s="9">
        <f>IF(F189="","",ROW()-19-COUNTBLANK($F$20:F189))</f>
        <v>148</v>
      </c>
      <c r="B189" s="19"/>
      <c r="C189" s="4" t="s">
        <v>488</v>
      </c>
      <c r="D189" s="4" t="s">
        <v>489</v>
      </c>
      <c r="E189" s="7" t="s">
        <v>490</v>
      </c>
      <c r="F189" s="7" t="s">
        <v>491</v>
      </c>
      <c r="G189" s="3" t="s">
        <v>73</v>
      </c>
      <c r="H189" s="3"/>
      <c r="I189" s="3"/>
      <c r="J189" s="3"/>
      <c r="K189" s="3"/>
      <c r="L189" s="3"/>
      <c r="M189" s="3"/>
      <c r="N189" s="3"/>
      <c r="O189" s="3"/>
      <c r="P189" s="3"/>
      <c r="Q189" s="3"/>
    </row>
    <row r="190" spans="1:17" ht="60" customHeight="1" x14ac:dyDescent="0.25">
      <c r="A190" s="9">
        <f>IF(F190="","",ROW()-19-COUNTBLANK($F$20:F190))</f>
        <v>149</v>
      </c>
      <c r="B190" s="17" t="s">
        <v>492</v>
      </c>
      <c r="C190" s="4" t="s">
        <v>493</v>
      </c>
      <c r="D190" s="4" t="s">
        <v>494</v>
      </c>
      <c r="E190" s="7" t="s">
        <v>495</v>
      </c>
      <c r="F190" s="7" t="s">
        <v>496</v>
      </c>
      <c r="G190" s="3" t="s">
        <v>50</v>
      </c>
      <c r="H190" s="3"/>
      <c r="I190" s="3"/>
      <c r="J190" s="3"/>
      <c r="K190" s="3"/>
      <c r="L190" s="3"/>
      <c r="M190" s="3"/>
      <c r="N190" s="3"/>
      <c r="O190" s="3"/>
      <c r="P190" s="3"/>
      <c r="Q190" s="3"/>
    </row>
    <row r="191" spans="1:17" ht="60" customHeight="1" x14ac:dyDescent="0.25">
      <c r="A191" s="9">
        <f>IF(F191="","",ROW()-19-COUNTBLANK($F$20:F191))</f>
        <v>150</v>
      </c>
      <c r="B191" s="18"/>
      <c r="C191" s="4" t="s">
        <v>497</v>
      </c>
      <c r="D191" s="4" t="s">
        <v>498</v>
      </c>
      <c r="E191" s="7" t="s">
        <v>499</v>
      </c>
      <c r="F191" s="7" t="s">
        <v>500</v>
      </c>
      <c r="G191" s="3" t="s">
        <v>55</v>
      </c>
      <c r="H191" s="3"/>
      <c r="I191" s="3"/>
      <c r="J191" s="3"/>
      <c r="K191" s="3"/>
      <c r="L191" s="3"/>
      <c r="M191" s="3"/>
      <c r="N191" s="3"/>
      <c r="O191" s="3"/>
      <c r="P191" s="3"/>
      <c r="Q191" s="3"/>
    </row>
    <row r="192" spans="1:17" ht="60" customHeight="1" x14ac:dyDescent="0.25">
      <c r="A192" s="9">
        <f>IF(F192="","",ROW()-19-COUNTBLANK($F$20:F192))</f>
        <v>151</v>
      </c>
      <c r="B192" s="19"/>
      <c r="C192" s="4" t="s">
        <v>501</v>
      </c>
      <c r="D192" s="4" t="s">
        <v>502</v>
      </c>
      <c r="E192" s="7" t="s">
        <v>503</v>
      </c>
      <c r="F192" s="7" t="s">
        <v>504</v>
      </c>
      <c r="G192" s="3" t="s">
        <v>55</v>
      </c>
      <c r="H192" s="3"/>
      <c r="I192" s="3"/>
      <c r="J192" s="3"/>
      <c r="K192" s="3"/>
      <c r="L192" s="3"/>
      <c r="M192" s="3"/>
      <c r="N192" s="3"/>
      <c r="O192" s="3"/>
      <c r="P192" s="3"/>
      <c r="Q192" s="3"/>
    </row>
    <row r="193" spans="1:17" ht="60" customHeight="1" x14ac:dyDescent="0.25">
      <c r="A193" s="9">
        <f>IF(F193="","",ROW()-19-COUNTBLANK($F$20:F193))</f>
        <v>152</v>
      </c>
      <c r="B193" s="17" t="s">
        <v>473</v>
      </c>
      <c r="C193" s="17" t="s">
        <v>505</v>
      </c>
      <c r="D193" s="4" t="s">
        <v>506</v>
      </c>
      <c r="E193" s="7" t="s">
        <v>507</v>
      </c>
      <c r="F193" s="7" t="s">
        <v>508</v>
      </c>
      <c r="G193" s="3" t="s">
        <v>55</v>
      </c>
      <c r="H193" s="3"/>
      <c r="I193" s="3"/>
      <c r="J193" s="3"/>
      <c r="K193" s="3"/>
      <c r="L193" s="3"/>
      <c r="M193" s="3"/>
      <c r="N193" s="3"/>
      <c r="O193" s="3"/>
      <c r="P193" s="3"/>
      <c r="Q193" s="3"/>
    </row>
    <row r="194" spans="1:17" ht="60" customHeight="1" x14ac:dyDescent="0.25">
      <c r="A194" s="9">
        <f>IF(F194="","",ROW()-19-COUNTBLANK($F$20:F194))</f>
        <v>153</v>
      </c>
      <c r="B194" s="18"/>
      <c r="C194" s="19"/>
      <c r="D194" s="4" t="s">
        <v>509</v>
      </c>
      <c r="E194" s="7" t="s">
        <v>510</v>
      </c>
      <c r="F194" s="7" t="s">
        <v>511</v>
      </c>
      <c r="G194" s="3" t="s">
        <v>55</v>
      </c>
      <c r="H194" s="3"/>
      <c r="I194" s="3"/>
      <c r="J194" s="3"/>
      <c r="K194" s="3"/>
      <c r="L194" s="3"/>
      <c r="M194" s="3"/>
      <c r="N194" s="3"/>
      <c r="O194" s="3"/>
      <c r="P194" s="3"/>
      <c r="Q194" s="3"/>
    </row>
    <row r="195" spans="1:17" ht="60" customHeight="1" x14ac:dyDescent="0.25">
      <c r="A195" s="9">
        <f>IF(F195="","",ROW()-19-COUNTBLANK($F$20:F195))</f>
        <v>154</v>
      </c>
      <c r="B195" s="18"/>
      <c r="C195" s="4" t="s">
        <v>512</v>
      </c>
      <c r="D195" s="4" t="s">
        <v>513</v>
      </c>
      <c r="E195" s="7" t="s">
        <v>514</v>
      </c>
      <c r="F195" s="7" t="s">
        <v>515</v>
      </c>
      <c r="G195" s="3" t="s">
        <v>55</v>
      </c>
      <c r="H195" s="3"/>
      <c r="I195" s="3"/>
      <c r="J195" s="3"/>
      <c r="K195" s="3"/>
      <c r="L195" s="3"/>
      <c r="M195" s="3"/>
      <c r="N195" s="3"/>
      <c r="O195" s="3"/>
      <c r="P195" s="3"/>
      <c r="Q195" s="3"/>
    </row>
    <row r="196" spans="1:17" ht="60" customHeight="1" x14ac:dyDescent="0.25">
      <c r="A196" s="9">
        <f>IF(F196="","",ROW()-19-COUNTBLANK($F$20:F196))</f>
        <v>155</v>
      </c>
      <c r="B196" s="19"/>
      <c r="C196" s="4" t="s">
        <v>516</v>
      </c>
      <c r="D196" s="4" t="s">
        <v>517</v>
      </c>
      <c r="E196" s="7" t="s">
        <v>518</v>
      </c>
      <c r="F196" s="7" t="s">
        <v>519</v>
      </c>
      <c r="G196" s="3" t="s">
        <v>55</v>
      </c>
      <c r="H196" s="3"/>
      <c r="I196" s="3"/>
      <c r="J196" s="3"/>
      <c r="K196" s="3"/>
      <c r="L196" s="3"/>
      <c r="M196" s="3"/>
      <c r="N196" s="3"/>
      <c r="O196" s="3"/>
      <c r="P196" s="3"/>
      <c r="Q196" s="3"/>
    </row>
    <row r="197" spans="1:17" ht="60" customHeight="1" x14ac:dyDescent="0.25">
      <c r="A197" s="9">
        <f>IF(F197="","",ROW()-19-COUNTBLANK($F$20:F197))</f>
        <v>156</v>
      </c>
      <c r="B197" s="4" t="s">
        <v>520</v>
      </c>
      <c r="C197" s="4" t="s">
        <v>521</v>
      </c>
      <c r="D197" s="4"/>
      <c r="E197" s="7" t="s">
        <v>522</v>
      </c>
      <c r="F197" s="7" t="s">
        <v>523</v>
      </c>
      <c r="G197" s="3" t="s">
        <v>55</v>
      </c>
      <c r="H197" s="3"/>
      <c r="I197" s="3"/>
      <c r="J197" s="3"/>
      <c r="K197" s="3"/>
      <c r="L197" s="3"/>
      <c r="M197" s="3"/>
      <c r="N197" s="3"/>
      <c r="O197" s="3"/>
      <c r="P197" s="3"/>
      <c r="Q197" s="3"/>
    </row>
    <row r="198" spans="1:17" ht="20.100000000000001" customHeight="1" x14ac:dyDescent="0.25">
      <c r="A198" s="9" t="str">
        <f>IF(F198="","",ROW()-19-COUNTBLANK($F$20:F198))</f>
        <v/>
      </c>
      <c r="B198" s="12" t="s">
        <v>524</v>
      </c>
      <c r="C198" s="12"/>
      <c r="D198" s="12"/>
      <c r="E198" s="12"/>
      <c r="F198" s="12"/>
      <c r="G198" s="12"/>
      <c r="H198" s="12"/>
      <c r="I198" s="12"/>
      <c r="J198" s="12"/>
      <c r="K198" s="12"/>
      <c r="L198" s="12"/>
      <c r="M198" s="12"/>
      <c r="N198" s="12"/>
      <c r="O198" s="12"/>
      <c r="P198" s="12"/>
      <c r="Q198" s="12"/>
    </row>
    <row r="199" spans="1:17" ht="60" customHeight="1" x14ac:dyDescent="0.25">
      <c r="A199" s="9">
        <f>IF(F199="","",ROW()-19-COUNTBLANK($F$20:F199))</f>
        <v>157</v>
      </c>
      <c r="B199" s="4" t="s">
        <v>216</v>
      </c>
      <c r="C199" s="4" t="s">
        <v>525</v>
      </c>
      <c r="D199" s="4"/>
      <c r="E199" s="7" t="s">
        <v>526</v>
      </c>
      <c r="F199" s="7" t="s">
        <v>461</v>
      </c>
      <c r="G199" s="3" t="s">
        <v>55</v>
      </c>
      <c r="H199" s="3"/>
      <c r="I199" s="3"/>
      <c r="J199" s="3"/>
      <c r="K199" s="3"/>
      <c r="L199" s="3"/>
      <c r="M199" s="3"/>
      <c r="N199" s="3"/>
      <c r="O199" s="3"/>
      <c r="P199" s="3"/>
      <c r="Q199" s="3"/>
    </row>
    <row r="200" spans="1:17" ht="60" customHeight="1" x14ac:dyDescent="0.25">
      <c r="A200" s="9">
        <f>IF(F200="","",ROW()-19-COUNTBLANK($F$20:F200))</f>
        <v>158</v>
      </c>
      <c r="B200" s="4" t="s">
        <v>132</v>
      </c>
      <c r="C200" s="4" t="s">
        <v>462</v>
      </c>
      <c r="D200" s="4"/>
      <c r="E200" s="7" t="s">
        <v>527</v>
      </c>
      <c r="F200" s="7" t="s">
        <v>528</v>
      </c>
      <c r="G200" s="3" t="s">
        <v>50</v>
      </c>
      <c r="H200" s="3"/>
      <c r="I200" s="3"/>
      <c r="J200" s="3"/>
      <c r="K200" s="3"/>
      <c r="L200" s="3"/>
      <c r="M200" s="3"/>
      <c r="N200" s="3"/>
      <c r="O200" s="3"/>
      <c r="P200" s="3"/>
      <c r="Q200" s="3"/>
    </row>
    <row r="201" spans="1:17" ht="60" customHeight="1" x14ac:dyDescent="0.25">
      <c r="A201" s="9">
        <f>IF(F201="","",ROW()-19-COUNTBLANK($F$20:F201))</f>
        <v>159</v>
      </c>
      <c r="B201" s="4" t="s">
        <v>465</v>
      </c>
      <c r="C201" s="4" t="s">
        <v>466</v>
      </c>
      <c r="D201" s="4"/>
      <c r="E201" s="7" t="s">
        <v>529</v>
      </c>
      <c r="F201" s="7" t="s">
        <v>530</v>
      </c>
      <c r="G201" s="3" t="s">
        <v>73</v>
      </c>
      <c r="H201" s="3"/>
      <c r="I201" s="3"/>
      <c r="J201" s="3"/>
      <c r="K201" s="3"/>
      <c r="L201" s="3"/>
      <c r="M201" s="3"/>
      <c r="N201" s="3"/>
      <c r="O201" s="3"/>
      <c r="P201" s="3"/>
      <c r="Q201" s="3"/>
    </row>
    <row r="202" spans="1:17" ht="60" customHeight="1" x14ac:dyDescent="0.25">
      <c r="A202" s="9">
        <f>IF(F202="","",ROW()-19-COUNTBLANK($F$20:F202))</f>
        <v>160</v>
      </c>
      <c r="B202" s="4" t="s">
        <v>469</v>
      </c>
      <c r="C202" s="4" t="s">
        <v>470</v>
      </c>
      <c r="D202" s="4"/>
      <c r="E202" s="7" t="s">
        <v>531</v>
      </c>
      <c r="F202" s="7" t="s">
        <v>532</v>
      </c>
      <c r="G202" s="3" t="s">
        <v>50</v>
      </c>
      <c r="H202" s="3"/>
      <c r="I202" s="3"/>
      <c r="J202" s="3"/>
      <c r="K202" s="3"/>
      <c r="L202" s="3"/>
      <c r="M202" s="3"/>
      <c r="N202" s="3"/>
      <c r="O202" s="3"/>
      <c r="P202" s="3"/>
      <c r="Q202" s="3"/>
    </row>
    <row r="203" spans="1:17" ht="60" customHeight="1" x14ac:dyDescent="0.25">
      <c r="A203" s="9">
        <f>IF(F203="","",ROW()-19-COUNTBLANK($F$20:F203))</f>
        <v>161</v>
      </c>
      <c r="B203" s="4" t="s">
        <v>473</v>
      </c>
      <c r="C203" s="4" t="s">
        <v>474</v>
      </c>
      <c r="D203" s="4"/>
      <c r="E203" s="7" t="s">
        <v>533</v>
      </c>
      <c r="F203" s="7" t="s">
        <v>534</v>
      </c>
      <c r="G203" s="3" t="s">
        <v>50</v>
      </c>
      <c r="H203" s="3"/>
      <c r="I203" s="3"/>
      <c r="J203" s="3"/>
      <c r="K203" s="3"/>
      <c r="L203" s="3"/>
      <c r="M203" s="3"/>
      <c r="N203" s="3"/>
      <c r="O203" s="3"/>
      <c r="P203" s="3"/>
      <c r="Q203" s="3"/>
    </row>
    <row r="204" spans="1:17" ht="60" customHeight="1" x14ac:dyDescent="0.25">
      <c r="A204" s="9">
        <f>IF(F204="","",ROW()-19-COUNTBLANK($F$20:F204))</f>
        <v>162</v>
      </c>
      <c r="B204" s="4" t="s">
        <v>477</v>
      </c>
      <c r="C204" s="4" t="s">
        <v>478</v>
      </c>
      <c r="D204" s="4"/>
      <c r="E204" s="7" t="s">
        <v>535</v>
      </c>
      <c r="F204" s="7" t="s">
        <v>480</v>
      </c>
      <c r="G204" s="3" t="s">
        <v>55</v>
      </c>
      <c r="H204" s="3"/>
      <c r="I204" s="3"/>
      <c r="J204" s="3"/>
      <c r="K204" s="3"/>
      <c r="L204" s="3"/>
      <c r="M204" s="3"/>
      <c r="N204" s="3"/>
      <c r="O204" s="3"/>
      <c r="P204" s="3"/>
      <c r="Q204" s="3"/>
    </row>
    <row r="205" spans="1:17" ht="60" customHeight="1" x14ac:dyDescent="0.25">
      <c r="A205" s="9">
        <f>IF(F205="","",ROW()-19-COUNTBLANK($F$20:F205))</f>
        <v>163</v>
      </c>
      <c r="B205" s="17" t="s">
        <v>481</v>
      </c>
      <c r="C205" s="4" t="s">
        <v>482</v>
      </c>
      <c r="D205" s="4" t="s">
        <v>536</v>
      </c>
      <c r="E205" s="7" t="s">
        <v>537</v>
      </c>
      <c r="F205" s="7" t="s">
        <v>485</v>
      </c>
      <c r="G205" s="3" t="s">
        <v>73</v>
      </c>
      <c r="H205" s="3"/>
      <c r="I205" s="3"/>
      <c r="J205" s="3"/>
      <c r="K205" s="3"/>
      <c r="L205" s="3"/>
      <c r="M205" s="3"/>
      <c r="N205" s="3"/>
      <c r="O205" s="3"/>
      <c r="P205" s="3"/>
      <c r="Q205" s="3"/>
    </row>
    <row r="206" spans="1:17" ht="60" customHeight="1" x14ac:dyDescent="0.25">
      <c r="A206" s="9">
        <f>IF(F206="","",ROW()-19-COUNTBLANK($F$20:F206))</f>
        <v>164</v>
      </c>
      <c r="B206" s="18"/>
      <c r="C206" s="4" t="s">
        <v>486</v>
      </c>
      <c r="D206" s="4" t="s">
        <v>538</v>
      </c>
      <c r="E206" s="7" t="s">
        <v>537</v>
      </c>
      <c r="F206" s="7" t="s">
        <v>485</v>
      </c>
      <c r="G206" s="3" t="s">
        <v>73</v>
      </c>
      <c r="H206" s="3"/>
      <c r="I206" s="3"/>
      <c r="J206" s="3"/>
      <c r="K206" s="3"/>
      <c r="L206" s="3"/>
      <c r="M206" s="3"/>
      <c r="N206" s="3"/>
      <c r="O206" s="3"/>
      <c r="P206" s="3"/>
      <c r="Q206" s="3"/>
    </row>
    <row r="207" spans="1:17" ht="60" customHeight="1" x14ac:dyDescent="0.25">
      <c r="A207" s="9">
        <f>IF(F207="","",ROW()-19-COUNTBLANK($F$20:F207))</f>
        <v>165</v>
      </c>
      <c r="B207" s="19"/>
      <c r="C207" s="4" t="s">
        <v>488</v>
      </c>
      <c r="D207" s="4" t="s">
        <v>539</v>
      </c>
      <c r="E207" s="7" t="s">
        <v>540</v>
      </c>
      <c r="F207" s="7" t="s">
        <v>491</v>
      </c>
      <c r="G207" s="3" t="s">
        <v>73</v>
      </c>
      <c r="H207" s="3"/>
      <c r="I207" s="3"/>
      <c r="J207" s="3"/>
      <c r="K207" s="3"/>
      <c r="L207" s="3"/>
      <c r="M207" s="3"/>
      <c r="N207" s="3"/>
      <c r="O207" s="3"/>
      <c r="P207" s="3"/>
      <c r="Q207" s="3"/>
    </row>
    <row r="208" spans="1:17" ht="60" customHeight="1" x14ac:dyDescent="0.25">
      <c r="A208" s="9">
        <f>IF(F208="","",ROW()-19-COUNTBLANK($F$20:F208))</f>
        <v>166</v>
      </c>
      <c r="B208" s="17" t="s">
        <v>492</v>
      </c>
      <c r="C208" s="4" t="s">
        <v>493</v>
      </c>
      <c r="D208" s="4" t="s">
        <v>494</v>
      </c>
      <c r="E208" s="7" t="s">
        <v>541</v>
      </c>
      <c r="F208" s="7" t="s">
        <v>496</v>
      </c>
      <c r="G208" s="3" t="s">
        <v>50</v>
      </c>
      <c r="H208" s="3"/>
      <c r="I208" s="3"/>
      <c r="J208" s="3"/>
      <c r="K208" s="3"/>
      <c r="L208" s="3"/>
      <c r="M208" s="3"/>
      <c r="N208" s="3"/>
      <c r="O208" s="3"/>
      <c r="P208" s="3"/>
      <c r="Q208" s="3"/>
    </row>
    <row r="209" spans="1:17" ht="60" customHeight="1" x14ac:dyDescent="0.25">
      <c r="A209" s="9">
        <f>IF(F209="","",ROW()-19-COUNTBLANK($F$20:F209))</f>
        <v>167</v>
      </c>
      <c r="B209" s="18"/>
      <c r="C209" s="4" t="s">
        <v>497</v>
      </c>
      <c r="D209" s="4" t="s">
        <v>498</v>
      </c>
      <c r="E209" s="7" t="s">
        <v>499</v>
      </c>
      <c r="F209" s="7" t="s">
        <v>500</v>
      </c>
      <c r="G209" s="3" t="s">
        <v>55</v>
      </c>
      <c r="H209" s="3"/>
      <c r="I209" s="3"/>
      <c r="J209" s="3"/>
      <c r="K209" s="3"/>
      <c r="L209" s="3"/>
      <c r="M209" s="3"/>
      <c r="N209" s="3"/>
      <c r="O209" s="3"/>
      <c r="P209" s="3"/>
      <c r="Q209" s="3"/>
    </row>
    <row r="210" spans="1:17" ht="60" customHeight="1" x14ac:dyDescent="0.25">
      <c r="A210" s="9">
        <f>IF(F210="","",ROW()-19-COUNTBLANK($F$20:F210))</f>
        <v>168</v>
      </c>
      <c r="B210" s="19"/>
      <c r="C210" s="4" t="s">
        <v>501</v>
      </c>
      <c r="D210" s="4" t="s">
        <v>502</v>
      </c>
      <c r="E210" s="7" t="s">
        <v>503</v>
      </c>
      <c r="F210" s="7" t="s">
        <v>542</v>
      </c>
      <c r="G210" s="3" t="s">
        <v>55</v>
      </c>
      <c r="H210" s="3"/>
      <c r="I210" s="3"/>
      <c r="J210" s="3"/>
      <c r="K210" s="3"/>
      <c r="L210" s="3"/>
      <c r="M210" s="3"/>
      <c r="N210" s="3"/>
      <c r="O210" s="3"/>
      <c r="P210" s="3"/>
      <c r="Q210" s="3"/>
    </row>
    <row r="211" spans="1:17" ht="60" customHeight="1" x14ac:dyDescent="0.25">
      <c r="A211" s="9">
        <f>IF(F211="","",ROW()-19-COUNTBLANK($F$20:F211))</f>
        <v>169</v>
      </c>
      <c r="B211" s="17" t="s">
        <v>473</v>
      </c>
      <c r="C211" s="17" t="s">
        <v>505</v>
      </c>
      <c r="D211" s="4" t="s">
        <v>506</v>
      </c>
      <c r="E211" s="7" t="s">
        <v>507</v>
      </c>
      <c r="F211" s="7" t="s">
        <v>508</v>
      </c>
      <c r="G211" s="3" t="s">
        <v>55</v>
      </c>
      <c r="H211" s="3"/>
      <c r="I211" s="3"/>
      <c r="J211" s="3"/>
      <c r="K211" s="3"/>
      <c r="L211" s="3"/>
      <c r="M211" s="3"/>
      <c r="N211" s="3"/>
      <c r="O211" s="3"/>
      <c r="P211" s="3"/>
      <c r="Q211" s="3"/>
    </row>
    <row r="212" spans="1:17" ht="60" customHeight="1" x14ac:dyDescent="0.25">
      <c r="A212" s="9">
        <f>IF(F212="","",ROW()-19-COUNTBLANK($F$20:F212))</f>
        <v>170</v>
      </c>
      <c r="B212" s="18"/>
      <c r="C212" s="19"/>
      <c r="D212" s="4" t="s">
        <v>509</v>
      </c>
      <c r="E212" s="7" t="s">
        <v>510</v>
      </c>
      <c r="F212" s="7" t="s">
        <v>511</v>
      </c>
      <c r="G212" s="3" t="s">
        <v>55</v>
      </c>
      <c r="H212" s="3"/>
      <c r="I212" s="3"/>
      <c r="J212" s="3"/>
      <c r="K212" s="3"/>
      <c r="L212" s="3"/>
      <c r="M212" s="3"/>
      <c r="N212" s="3"/>
      <c r="O212" s="3"/>
      <c r="P212" s="3"/>
      <c r="Q212" s="3"/>
    </row>
    <row r="213" spans="1:17" ht="60" customHeight="1" x14ac:dyDescent="0.25">
      <c r="A213" s="9">
        <f>IF(F213="","",ROW()-19-COUNTBLANK($F$20:F213))</f>
        <v>171</v>
      </c>
      <c r="B213" s="18"/>
      <c r="C213" s="4" t="s">
        <v>512</v>
      </c>
      <c r="D213" s="4" t="s">
        <v>513</v>
      </c>
      <c r="E213" s="7" t="s">
        <v>514</v>
      </c>
      <c r="F213" s="7" t="s">
        <v>515</v>
      </c>
      <c r="G213" s="3" t="s">
        <v>55</v>
      </c>
      <c r="H213" s="3"/>
      <c r="I213" s="3"/>
      <c r="J213" s="3"/>
      <c r="K213" s="3"/>
      <c r="L213" s="3"/>
      <c r="M213" s="3"/>
      <c r="N213" s="3"/>
      <c r="O213" s="3"/>
      <c r="P213" s="3"/>
      <c r="Q213" s="3"/>
    </row>
    <row r="214" spans="1:17" ht="60" customHeight="1" x14ac:dyDescent="0.25">
      <c r="A214" s="9">
        <f>IF(F214="","",ROW()-19-COUNTBLANK($F$20:F214))</f>
        <v>172</v>
      </c>
      <c r="B214" s="19"/>
      <c r="C214" s="4" t="s">
        <v>516</v>
      </c>
      <c r="D214" s="4" t="s">
        <v>517</v>
      </c>
      <c r="E214" s="7" t="s">
        <v>518</v>
      </c>
      <c r="F214" s="7" t="s">
        <v>519</v>
      </c>
      <c r="G214" s="3" t="s">
        <v>55</v>
      </c>
      <c r="H214" s="3"/>
      <c r="I214" s="3"/>
      <c r="J214" s="3"/>
      <c r="K214" s="3"/>
      <c r="L214" s="3"/>
      <c r="M214" s="3"/>
      <c r="N214" s="3"/>
      <c r="O214" s="3"/>
      <c r="P214" s="3"/>
      <c r="Q214" s="3"/>
    </row>
    <row r="215" spans="1:17" ht="60" customHeight="1" x14ac:dyDescent="0.25">
      <c r="A215" s="9">
        <f>IF(F215="","",ROW()-19-COUNTBLANK($F$20:F215))</f>
        <v>173</v>
      </c>
      <c r="B215" s="17" t="s">
        <v>138</v>
      </c>
      <c r="C215" s="17" t="s">
        <v>543</v>
      </c>
      <c r="D215" s="4" t="s">
        <v>544</v>
      </c>
      <c r="E215" s="7" t="s">
        <v>545</v>
      </c>
      <c r="F215" s="7" t="s">
        <v>546</v>
      </c>
      <c r="G215" s="3" t="s">
        <v>50</v>
      </c>
      <c r="H215" s="3"/>
      <c r="I215" s="3"/>
      <c r="J215" s="3"/>
      <c r="K215" s="3"/>
      <c r="L215" s="3"/>
      <c r="M215" s="3"/>
      <c r="N215" s="3"/>
      <c r="O215" s="3"/>
      <c r="P215" s="3"/>
      <c r="Q215" s="3"/>
    </row>
    <row r="216" spans="1:17" ht="60" customHeight="1" x14ac:dyDescent="0.25">
      <c r="A216" s="9">
        <f>IF(F216="","",ROW()-19-COUNTBLANK($F$20:F216))</f>
        <v>174</v>
      </c>
      <c r="B216" s="18"/>
      <c r="C216" s="19"/>
      <c r="D216" s="4" t="s">
        <v>547</v>
      </c>
      <c r="E216" s="7" t="s">
        <v>548</v>
      </c>
      <c r="F216" s="7" t="s">
        <v>549</v>
      </c>
      <c r="G216" s="3" t="s">
        <v>50</v>
      </c>
      <c r="H216" s="3"/>
      <c r="I216" s="3"/>
      <c r="J216" s="3"/>
      <c r="K216" s="3"/>
      <c r="L216" s="3"/>
      <c r="M216" s="3"/>
      <c r="N216" s="3"/>
      <c r="O216" s="3"/>
      <c r="P216" s="3"/>
      <c r="Q216" s="3"/>
    </row>
    <row r="217" spans="1:17" ht="60" customHeight="1" x14ac:dyDescent="0.25">
      <c r="A217" s="9">
        <f>IF(F217="","",ROW()-19-COUNTBLANK($F$20:F217))</f>
        <v>175</v>
      </c>
      <c r="B217" s="18"/>
      <c r="C217" s="4" t="s">
        <v>550</v>
      </c>
      <c r="D217" s="4" t="s">
        <v>551</v>
      </c>
      <c r="E217" s="7" t="s">
        <v>552</v>
      </c>
      <c r="F217" s="7" t="s">
        <v>553</v>
      </c>
      <c r="G217" s="3" t="s">
        <v>55</v>
      </c>
      <c r="H217" s="3"/>
      <c r="I217" s="3"/>
      <c r="J217" s="3"/>
      <c r="K217" s="3"/>
      <c r="L217" s="3"/>
      <c r="M217" s="3"/>
      <c r="N217" s="3"/>
      <c r="O217" s="3"/>
      <c r="P217" s="3"/>
      <c r="Q217" s="3"/>
    </row>
    <row r="218" spans="1:17" ht="60" customHeight="1" x14ac:dyDescent="0.25">
      <c r="A218" s="9">
        <f>IF(F218="","",ROW()-19-COUNTBLANK($F$20:F218))</f>
        <v>176</v>
      </c>
      <c r="B218" s="18"/>
      <c r="C218" s="4" t="s">
        <v>554</v>
      </c>
      <c r="D218" s="4" t="s">
        <v>555</v>
      </c>
      <c r="E218" s="7" t="s">
        <v>556</v>
      </c>
      <c r="F218" s="7" t="s">
        <v>557</v>
      </c>
      <c r="G218" s="3" t="s">
        <v>55</v>
      </c>
      <c r="H218" s="3"/>
      <c r="I218" s="3"/>
      <c r="J218" s="3"/>
      <c r="K218" s="3"/>
      <c r="L218" s="3"/>
      <c r="M218" s="3"/>
      <c r="N218" s="3"/>
      <c r="O218" s="3"/>
      <c r="P218" s="3"/>
      <c r="Q218" s="3"/>
    </row>
    <row r="219" spans="1:17" ht="60" customHeight="1" x14ac:dyDescent="0.25">
      <c r="A219" s="9">
        <f>IF(F219="","",ROW()-19-COUNTBLANK($F$20:F219))</f>
        <v>177</v>
      </c>
      <c r="B219" s="18"/>
      <c r="C219" s="17" t="s">
        <v>558</v>
      </c>
      <c r="D219" s="4" t="s">
        <v>559</v>
      </c>
      <c r="E219" s="7" t="s">
        <v>560</v>
      </c>
      <c r="F219" s="7" t="s">
        <v>561</v>
      </c>
      <c r="G219" s="3" t="s">
        <v>55</v>
      </c>
      <c r="H219" s="3"/>
      <c r="I219" s="3"/>
      <c r="J219" s="3"/>
      <c r="K219" s="3"/>
      <c r="L219" s="3"/>
      <c r="M219" s="3"/>
      <c r="N219" s="3"/>
      <c r="O219" s="3"/>
      <c r="P219" s="3"/>
      <c r="Q219" s="3"/>
    </row>
    <row r="220" spans="1:17" ht="60" customHeight="1" x14ac:dyDescent="0.25">
      <c r="A220" s="9">
        <f>IF(F220="","",ROW()-19-COUNTBLANK($F$20:F220))</f>
        <v>178</v>
      </c>
      <c r="B220" s="18"/>
      <c r="C220" s="18"/>
      <c r="D220" s="4" t="s">
        <v>562</v>
      </c>
      <c r="E220" s="7" t="s">
        <v>563</v>
      </c>
      <c r="F220" s="7" t="s">
        <v>564</v>
      </c>
      <c r="G220" s="3" t="s">
        <v>50</v>
      </c>
      <c r="H220" s="3"/>
      <c r="I220" s="3"/>
      <c r="J220" s="3"/>
      <c r="K220" s="3"/>
      <c r="L220" s="3"/>
      <c r="M220" s="3"/>
      <c r="N220" s="3"/>
      <c r="O220" s="3"/>
      <c r="P220" s="3"/>
      <c r="Q220" s="3"/>
    </row>
    <row r="221" spans="1:17" ht="60" customHeight="1" x14ac:dyDescent="0.25">
      <c r="A221" s="9">
        <f>IF(F221="","",ROW()-19-COUNTBLANK($F$20:F221))</f>
        <v>179</v>
      </c>
      <c r="B221" s="19"/>
      <c r="C221" s="19"/>
      <c r="D221" s="4" t="s">
        <v>565</v>
      </c>
      <c r="E221" s="7" t="s">
        <v>566</v>
      </c>
      <c r="F221" s="7" t="s">
        <v>567</v>
      </c>
      <c r="G221" s="3" t="s">
        <v>50</v>
      </c>
      <c r="H221" s="3"/>
      <c r="I221" s="3"/>
      <c r="J221" s="3"/>
      <c r="K221" s="3"/>
      <c r="L221" s="3"/>
      <c r="M221" s="3"/>
      <c r="N221" s="3"/>
      <c r="O221" s="3"/>
      <c r="P221" s="3"/>
      <c r="Q221" s="3"/>
    </row>
    <row r="222" spans="1:17" ht="20.100000000000001" customHeight="1" x14ac:dyDescent="0.25">
      <c r="A222" s="9" t="str">
        <f>IF(F222="","",ROW()-19-COUNTBLANK($F$20:F222))</f>
        <v/>
      </c>
      <c r="B222" s="12" t="s">
        <v>568</v>
      </c>
      <c r="C222" s="12"/>
      <c r="D222" s="12"/>
      <c r="E222" s="12"/>
      <c r="F222" s="12"/>
      <c r="G222" s="12"/>
      <c r="H222" s="12"/>
      <c r="I222" s="12"/>
      <c r="J222" s="12"/>
      <c r="K222" s="12"/>
      <c r="L222" s="12"/>
      <c r="M222" s="12"/>
      <c r="N222" s="12"/>
      <c r="O222" s="12"/>
      <c r="P222" s="12"/>
      <c r="Q222" s="12"/>
    </row>
    <row r="223" spans="1:17" ht="60" customHeight="1" x14ac:dyDescent="0.25">
      <c r="A223" s="9">
        <f>IF(F223="","",ROW()-19-COUNTBLANK($F$20:F223))</f>
        <v>180</v>
      </c>
      <c r="B223" s="4" t="s">
        <v>216</v>
      </c>
      <c r="C223" s="4" t="s">
        <v>569</v>
      </c>
      <c r="D223" s="4"/>
      <c r="E223" s="7" t="s">
        <v>570</v>
      </c>
      <c r="F223" s="7" t="s">
        <v>461</v>
      </c>
      <c r="G223" s="3" t="s">
        <v>55</v>
      </c>
      <c r="H223" s="3"/>
      <c r="I223" s="3"/>
      <c r="J223" s="3"/>
      <c r="K223" s="3"/>
      <c r="L223" s="3"/>
      <c r="M223" s="3"/>
      <c r="N223" s="3"/>
      <c r="O223" s="3"/>
      <c r="P223" s="3"/>
      <c r="Q223" s="3"/>
    </row>
    <row r="224" spans="1:17" ht="60" customHeight="1" x14ac:dyDescent="0.25">
      <c r="A224" s="9">
        <f>IF(F224="","",ROW()-19-COUNTBLANK($F$20:F224))</f>
        <v>181</v>
      </c>
      <c r="B224" s="4" t="s">
        <v>132</v>
      </c>
      <c r="C224" s="4" t="s">
        <v>462</v>
      </c>
      <c r="D224" s="4"/>
      <c r="E224" s="7" t="s">
        <v>571</v>
      </c>
      <c r="F224" s="7" t="s">
        <v>572</v>
      </c>
      <c r="G224" s="3" t="s">
        <v>50</v>
      </c>
      <c r="H224" s="3"/>
      <c r="I224" s="3"/>
      <c r="J224" s="3"/>
      <c r="K224" s="3"/>
      <c r="L224" s="3"/>
      <c r="M224" s="3"/>
      <c r="N224" s="3"/>
      <c r="O224" s="3"/>
      <c r="P224" s="3"/>
      <c r="Q224" s="3"/>
    </row>
    <row r="225" spans="1:17" ht="60" customHeight="1" x14ac:dyDescent="0.25">
      <c r="A225" s="9">
        <f>IF(F225="","",ROW()-19-COUNTBLANK($F$20:F225))</f>
        <v>182</v>
      </c>
      <c r="B225" s="4" t="s">
        <v>465</v>
      </c>
      <c r="C225" s="4" t="s">
        <v>466</v>
      </c>
      <c r="D225" s="4"/>
      <c r="E225" s="7" t="s">
        <v>573</v>
      </c>
      <c r="F225" s="7" t="s">
        <v>468</v>
      </c>
      <c r="G225" s="3" t="s">
        <v>73</v>
      </c>
      <c r="H225" s="3"/>
      <c r="I225" s="3"/>
      <c r="J225" s="3"/>
      <c r="K225" s="3"/>
      <c r="L225" s="3"/>
      <c r="M225" s="3"/>
      <c r="N225" s="3"/>
      <c r="O225" s="3"/>
      <c r="P225" s="3"/>
      <c r="Q225" s="3"/>
    </row>
    <row r="226" spans="1:17" ht="60" customHeight="1" x14ac:dyDescent="0.25">
      <c r="A226" s="9">
        <f>IF(F226="","",ROW()-19-COUNTBLANK($F$20:F226))</f>
        <v>183</v>
      </c>
      <c r="B226" s="4" t="s">
        <v>469</v>
      </c>
      <c r="C226" s="4" t="s">
        <v>470</v>
      </c>
      <c r="D226" s="4"/>
      <c r="E226" s="7" t="s">
        <v>574</v>
      </c>
      <c r="F226" s="7" t="s">
        <v>575</v>
      </c>
      <c r="G226" s="3" t="s">
        <v>50</v>
      </c>
      <c r="H226" s="3"/>
      <c r="I226" s="3"/>
      <c r="J226" s="3"/>
      <c r="K226" s="3"/>
      <c r="L226" s="3"/>
      <c r="M226" s="3"/>
      <c r="N226" s="3"/>
      <c r="O226" s="3"/>
      <c r="P226" s="3"/>
      <c r="Q226" s="3"/>
    </row>
    <row r="227" spans="1:17" ht="60" customHeight="1" x14ac:dyDescent="0.25">
      <c r="A227" s="9">
        <f>IF(F227="","",ROW()-19-COUNTBLANK($F$20:F227))</f>
        <v>184</v>
      </c>
      <c r="B227" s="4" t="s">
        <v>473</v>
      </c>
      <c r="C227" s="4" t="s">
        <v>474</v>
      </c>
      <c r="D227" s="4"/>
      <c r="E227" s="7" t="s">
        <v>576</v>
      </c>
      <c r="F227" s="7" t="s">
        <v>577</v>
      </c>
      <c r="G227" s="3" t="s">
        <v>50</v>
      </c>
      <c r="H227" s="3"/>
      <c r="I227" s="3"/>
      <c r="J227" s="3"/>
      <c r="K227" s="3"/>
      <c r="L227" s="3"/>
      <c r="M227" s="3"/>
      <c r="N227" s="3"/>
      <c r="O227" s="3"/>
      <c r="P227" s="3"/>
      <c r="Q227" s="3"/>
    </row>
    <row r="228" spans="1:17" ht="60" customHeight="1" x14ac:dyDescent="0.25">
      <c r="A228" s="9">
        <f>IF(F228="","",ROW()-19-COUNTBLANK($F$20:F228))</f>
        <v>185</v>
      </c>
      <c r="B228" s="4" t="s">
        <v>477</v>
      </c>
      <c r="C228" s="4" t="s">
        <v>478</v>
      </c>
      <c r="D228" s="4"/>
      <c r="E228" s="7" t="s">
        <v>578</v>
      </c>
      <c r="F228" s="7" t="s">
        <v>480</v>
      </c>
      <c r="G228" s="3" t="s">
        <v>55</v>
      </c>
      <c r="H228" s="3"/>
      <c r="I228" s="3"/>
      <c r="J228" s="3"/>
      <c r="K228" s="3"/>
      <c r="L228" s="3"/>
      <c r="M228" s="3"/>
      <c r="N228" s="3"/>
      <c r="O228" s="3"/>
      <c r="P228" s="3"/>
      <c r="Q228" s="3"/>
    </row>
    <row r="229" spans="1:17" ht="60" customHeight="1" x14ac:dyDescent="0.25">
      <c r="A229" s="9">
        <f>IF(F229="","",ROW()-19-COUNTBLANK($F$20:F229))</f>
        <v>186</v>
      </c>
      <c r="B229" s="17" t="s">
        <v>481</v>
      </c>
      <c r="C229" s="4" t="s">
        <v>482</v>
      </c>
      <c r="D229" s="4" t="s">
        <v>579</v>
      </c>
      <c r="E229" s="7" t="s">
        <v>580</v>
      </c>
      <c r="F229" s="7" t="s">
        <v>485</v>
      </c>
      <c r="G229" s="3" t="s">
        <v>73</v>
      </c>
      <c r="H229" s="3"/>
      <c r="I229" s="3"/>
      <c r="J229" s="3"/>
      <c r="K229" s="3"/>
      <c r="L229" s="3"/>
      <c r="M229" s="3"/>
      <c r="N229" s="3"/>
      <c r="O229" s="3"/>
      <c r="P229" s="3"/>
      <c r="Q229" s="3"/>
    </row>
    <row r="230" spans="1:17" ht="60" customHeight="1" x14ac:dyDescent="0.25">
      <c r="A230" s="9">
        <f>IF(F230="","",ROW()-19-COUNTBLANK($F$20:F230))</f>
        <v>187</v>
      </c>
      <c r="B230" s="18"/>
      <c r="C230" s="4" t="s">
        <v>486</v>
      </c>
      <c r="D230" s="4" t="s">
        <v>581</v>
      </c>
      <c r="E230" s="7" t="s">
        <v>580</v>
      </c>
      <c r="F230" s="7" t="s">
        <v>485</v>
      </c>
      <c r="G230" s="3" t="s">
        <v>73</v>
      </c>
      <c r="H230" s="3"/>
      <c r="I230" s="3"/>
      <c r="J230" s="3"/>
      <c r="K230" s="3"/>
      <c r="L230" s="3"/>
      <c r="M230" s="3"/>
      <c r="N230" s="3"/>
      <c r="O230" s="3"/>
      <c r="P230" s="3"/>
      <c r="Q230" s="3"/>
    </row>
    <row r="231" spans="1:17" ht="60" customHeight="1" x14ac:dyDescent="0.25">
      <c r="A231" s="9">
        <f>IF(F231="","",ROW()-19-COUNTBLANK($F$20:F231))</f>
        <v>188</v>
      </c>
      <c r="B231" s="19"/>
      <c r="C231" s="4" t="s">
        <v>488</v>
      </c>
      <c r="D231" s="4" t="s">
        <v>582</v>
      </c>
      <c r="E231" s="7" t="s">
        <v>583</v>
      </c>
      <c r="F231" s="7" t="s">
        <v>491</v>
      </c>
      <c r="G231" s="3" t="s">
        <v>73</v>
      </c>
      <c r="H231" s="3"/>
      <c r="I231" s="3"/>
      <c r="J231" s="3"/>
      <c r="K231" s="3"/>
      <c r="L231" s="3"/>
      <c r="M231" s="3"/>
      <c r="N231" s="3"/>
      <c r="O231" s="3"/>
      <c r="P231" s="3"/>
      <c r="Q231" s="3"/>
    </row>
    <row r="232" spans="1:17" ht="60" customHeight="1" x14ac:dyDescent="0.25">
      <c r="A232" s="9">
        <f>IF(F232="","",ROW()-19-COUNTBLANK($F$20:F232))</f>
        <v>189</v>
      </c>
      <c r="B232" s="17" t="s">
        <v>492</v>
      </c>
      <c r="C232" s="4" t="s">
        <v>493</v>
      </c>
      <c r="D232" s="4" t="s">
        <v>494</v>
      </c>
      <c r="E232" s="7" t="s">
        <v>584</v>
      </c>
      <c r="F232" s="7" t="s">
        <v>496</v>
      </c>
      <c r="G232" s="3" t="s">
        <v>50</v>
      </c>
      <c r="H232" s="3"/>
      <c r="I232" s="3"/>
      <c r="J232" s="3"/>
      <c r="K232" s="3"/>
      <c r="L232" s="3"/>
      <c r="M232" s="3"/>
      <c r="N232" s="3"/>
      <c r="O232" s="3"/>
      <c r="P232" s="3"/>
      <c r="Q232" s="3"/>
    </row>
    <row r="233" spans="1:17" ht="60" customHeight="1" x14ac:dyDescent="0.25">
      <c r="A233" s="9">
        <f>IF(F233="","",ROW()-19-COUNTBLANK($F$20:F233))</f>
        <v>190</v>
      </c>
      <c r="B233" s="18"/>
      <c r="C233" s="4" t="s">
        <v>497</v>
      </c>
      <c r="D233" s="4" t="s">
        <v>498</v>
      </c>
      <c r="E233" s="7" t="s">
        <v>499</v>
      </c>
      <c r="F233" s="7" t="s">
        <v>500</v>
      </c>
      <c r="G233" s="3" t="s">
        <v>55</v>
      </c>
      <c r="H233" s="3"/>
      <c r="I233" s="3"/>
      <c r="J233" s="3"/>
      <c r="K233" s="3"/>
      <c r="L233" s="3"/>
      <c r="M233" s="3"/>
      <c r="N233" s="3"/>
      <c r="O233" s="3"/>
      <c r="P233" s="3"/>
      <c r="Q233" s="3"/>
    </row>
    <row r="234" spans="1:17" ht="60" customHeight="1" x14ac:dyDescent="0.25">
      <c r="A234" s="9">
        <f>IF(F234="","",ROW()-19-COUNTBLANK($F$20:F234))</f>
        <v>191</v>
      </c>
      <c r="B234" s="19"/>
      <c r="C234" s="4" t="s">
        <v>501</v>
      </c>
      <c r="D234" s="4" t="s">
        <v>502</v>
      </c>
      <c r="E234" s="7" t="s">
        <v>503</v>
      </c>
      <c r="F234" s="7" t="s">
        <v>504</v>
      </c>
      <c r="G234" s="3" t="s">
        <v>55</v>
      </c>
      <c r="H234" s="3"/>
      <c r="I234" s="3"/>
      <c r="J234" s="3"/>
      <c r="K234" s="3"/>
      <c r="L234" s="3"/>
      <c r="M234" s="3"/>
      <c r="N234" s="3"/>
      <c r="O234" s="3"/>
      <c r="P234" s="3"/>
      <c r="Q234" s="3"/>
    </row>
    <row r="235" spans="1:17" ht="60" customHeight="1" x14ac:dyDescent="0.25">
      <c r="A235" s="9">
        <f>IF(F235="","",ROW()-19-COUNTBLANK($F$20:F235))</f>
        <v>192</v>
      </c>
      <c r="B235" s="17" t="s">
        <v>473</v>
      </c>
      <c r="C235" s="17" t="s">
        <v>505</v>
      </c>
      <c r="D235" s="4" t="s">
        <v>506</v>
      </c>
      <c r="E235" s="7" t="s">
        <v>507</v>
      </c>
      <c r="F235" s="7" t="s">
        <v>508</v>
      </c>
      <c r="G235" s="3" t="s">
        <v>55</v>
      </c>
      <c r="H235" s="3"/>
      <c r="I235" s="3"/>
      <c r="J235" s="3"/>
      <c r="K235" s="3"/>
      <c r="L235" s="3"/>
      <c r="M235" s="3"/>
      <c r="N235" s="3"/>
      <c r="O235" s="3"/>
      <c r="P235" s="3"/>
      <c r="Q235" s="3"/>
    </row>
    <row r="236" spans="1:17" ht="60" customHeight="1" x14ac:dyDescent="0.25">
      <c r="A236" s="9">
        <f>IF(F236="","",ROW()-19-COUNTBLANK($F$20:F236))</f>
        <v>193</v>
      </c>
      <c r="B236" s="18"/>
      <c r="C236" s="19"/>
      <c r="D236" s="4" t="s">
        <v>509</v>
      </c>
      <c r="E236" s="7" t="s">
        <v>510</v>
      </c>
      <c r="F236" s="7" t="s">
        <v>511</v>
      </c>
      <c r="G236" s="3" t="s">
        <v>55</v>
      </c>
      <c r="H236" s="3"/>
      <c r="I236" s="3"/>
      <c r="J236" s="3"/>
      <c r="K236" s="3"/>
      <c r="L236" s="3"/>
      <c r="M236" s="3"/>
      <c r="N236" s="3"/>
      <c r="O236" s="3"/>
      <c r="P236" s="3"/>
      <c r="Q236" s="3"/>
    </row>
    <row r="237" spans="1:17" ht="60" customHeight="1" x14ac:dyDescent="0.25">
      <c r="A237" s="9">
        <f>IF(F237="","",ROW()-19-COUNTBLANK($F$20:F237))</f>
        <v>194</v>
      </c>
      <c r="B237" s="18"/>
      <c r="C237" s="4" t="s">
        <v>512</v>
      </c>
      <c r="D237" s="4" t="s">
        <v>513</v>
      </c>
      <c r="E237" s="7" t="s">
        <v>514</v>
      </c>
      <c r="F237" s="7" t="s">
        <v>515</v>
      </c>
      <c r="G237" s="3" t="s">
        <v>55</v>
      </c>
      <c r="H237" s="3"/>
      <c r="I237" s="3"/>
      <c r="J237" s="3"/>
      <c r="K237" s="3"/>
      <c r="L237" s="3"/>
      <c r="M237" s="3"/>
      <c r="N237" s="3"/>
      <c r="O237" s="3"/>
      <c r="P237" s="3"/>
      <c r="Q237" s="3"/>
    </row>
    <row r="238" spans="1:17" ht="60" customHeight="1" x14ac:dyDescent="0.25">
      <c r="A238" s="9">
        <f>IF(F238="","",ROW()-19-COUNTBLANK($F$20:F238))</f>
        <v>195</v>
      </c>
      <c r="B238" s="19"/>
      <c r="C238" s="4" t="s">
        <v>516</v>
      </c>
      <c r="D238" s="4" t="s">
        <v>517</v>
      </c>
      <c r="E238" s="7" t="s">
        <v>518</v>
      </c>
      <c r="F238" s="7" t="s">
        <v>519</v>
      </c>
      <c r="G238" s="3" t="s">
        <v>55</v>
      </c>
      <c r="H238" s="3"/>
      <c r="I238" s="3"/>
      <c r="J238" s="3"/>
      <c r="K238" s="3"/>
      <c r="L238" s="3"/>
      <c r="M238" s="3"/>
      <c r="N238" s="3"/>
      <c r="O238" s="3"/>
      <c r="P238" s="3"/>
      <c r="Q238" s="3"/>
    </row>
    <row r="239" spans="1:17" ht="60" customHeight="1" x14ac:dyDescent="0.25">
      <c r="A239" s="9">
        <f>IF(F239="","",ROW()-19-COUNTBLANK($F$20:F239))</f>
        <v>196</v>
      </c>
      <c r="B239" s="4" t="s">
        <v>520</v>
      </c>
      <c r="C239" s="4" t="s">
        <v>521</v>
      </c>
      <c r="D239" s="4"/>
      <c r="E239" s="7" t="s">
        <v>585</v>
      </c>
      <c r="F239" s="7" t="s">
        <v>523</v>
      </c>
      <c r="G239" s="3" t="s">
        <v>55</v>
      </c>
      <c r="H239" s="3"/>
      <c r="I239" s="3"/>
      <c r="J239" s="3"/>
      <c r="K239" s="3"/>
      <c r="L239" s="3"/>
      <c r="M239" s="3"/>
      <c r="N239" s="3"/>
      <c r="O239" s="3"/>
      <c r="P239" s="3"/>
      <c r="Q239" s="3"/>
    </row>
    <row r="240" spans="1:17" ht="20.100000000000001" customHeight="1" x14ac:dyDescent="0.25">
      <c r="A240" s="9" t="str">
        <f>IF(F240="","",ROW()-19-COUNTBLANK($F$20:F240))</f>
        <v/>
      </c>
      <c r="B240" s="12" t="s">
        <v>586</v>
      </c>
      <c r="C240" s="12"/>
      <c r="D240" s="12"/>
      <c r="E240" s="12"/>
      <c r="F240" s="12"/>
      <c r="G240" s="12"/>
      <c r="H240" s="12"/>
      <c r="I240" s="12"/>
      <c r="J240" s="12"/>
      <c r="K240" s="12"/>
      <c r="L240" s="12"/>
      <c r="M240" s="12"/>
      <c r="N240" s="12"/>
      <c r="O240" s="12"/>
      <c r="P240" s="12"/>
      <c r="Q240" s="12"/>
    </row>
    <row r="241" spans="1:17" ht="60" customHeight="1" x14ac:dyDescent="0.25">
      <c r="A241" s="9">
        <f>IF(F241="","",ROW()-19-COUNTBLANK($F$20:F241))</f>
        <v>197</v>
      </c>
      <c r="B241" s="4" t="s">
        <v>216</v>
      </c>
      <c r="C241" s="4" t="s">
        <v>587</v>
      </c>
      <c r="D241" s="4"/>
      <c r="E241" s="7" t="s">
        <v>588</v>
      </c>
      <c r="F241" s="7" t="s">
        <v>589</v>
      </c>
      <c r="G241" s="3" t="s">
        <v>55</v>
      </c>
      <c r="H241" s="3"/>
      <c r="I241" s="3"/>
      <c r="J241" s="3"/>
      <c r="K241" s="3"/>
      <c r="L241" s="3"/>
      <c r="M241" s="3"/>
      <c r="N241" s="3"/>
      <c r="O241" s="3"/>
      <c r="P241" s="3"/>
      <c r="Q241" s="3"/>
    </row>
    <row r="242" spans="1:17" ht="60" customHeight="1" x14ac:dyDescent="0.25">
      <c r="A242" s="9">
        <f>IF(F242="","",ROW()-19-COUNTBLANK($F$20:F242))</f>
        <v>198</v>
      </c>
      <c r="B242" s="4" t="s">
        <v>132</v>
      </c>
      <c r="C242" s="4" t="s">
        <v>462</v>
      </c>
      <c r="D242" s="4"/>
      <c r="E242" s="7" t="s">
        <v>588</v>
      </c>
      <c r="F242" s="7" t="s">
        <v>590</v>
      </c>
      <c r="G242" s="3" t="s">
        <v>55</v>
      </c>
      <c r="H242" s="3"/>
      <c r="I242" s="3"/>
      <c r="J242" s="3"/>
      <c r="K242" s="3"/>
      <c r="L242" s="3"/>
      <c r="M242" s="3"/>
      <c r="N242" s="3"/>
      <c r="O242" s="3"/>
      <c r="P242" s="3"/>
      <c r="Q242" s="3"/>
    </row>
    <row r="243" spans="1:17" ht="60" customHeight="1" x14ac:dyDescent="0.25">
      <c r="A243" s="9">
        <f>IF(F243="","",ROW()-19-COUNTBLANK($F$20:F243))</f>
        <v>199</v>
      </c>
      <c r="B243" s="4" t="s">
        <v>465</v>
      </c>
      <c r="C243" s="4" t="s">
        <v>591</v>
      </c>
      <c r="D243" s="4"/>
      <c r="E243" s="7" t="s">
        <v>592</v>
      </c>
      <c r="F243" s="7" t="s">
        <v>593</v>
      </c>
      <c r="G243" s="3" t="s">
        <v>73</v>
      </c>
      <c r="H243" s="3"/>
      <c r="I243" s="3"/>
      <c r="J243" s="3"/>
      <c r="K243" s="3"/>
      <c r="L243" s="3"/>
      <c r="M243" s="3"/>
      <c r="N243" s="3"/>
      <c r="O243" s="3"/>
      <c r="P243" s="3"/>
      <c r="Q243" s="3"/>
    </row>
    <row r="244" spans="1:17" ht="60" customHeight="1" x14ac:dyDescent="0.25">
      <c r="A244" s="9">
        <f>IF(F244="","",ROW()-19-COUNTBLANK($F$20:F244))</f>
        <v>200</v>
      </c>
      <c r="B244" s="4" t="s">
        <v>594</v>
      </c>
      <c r="C244" s="4" t="s">
        <v>595</v>
      </c>
      <c r="D244" s="4"/>
      <c r="E244" s="7" t="s">
        <v>596</v>
      </c>
      <c r="F244" s="7" t="s">
        <v>597</v>
      </c>
      <c r="G244" s="3" t="s">
        <v>55</v>
      </c>
      <c r="H244" s="3"/>
      <c r="I244" s="3"/>
      <c r="J244" s="3"/>
      <c r="K244" s="3"/>
      <c r="L244" s="3"/>
      <c r="M244" s="3"/>
      <c r="N244" s="3"/>
      <c r="O244" s="3"/>
      <c r="P244" s="3"/>
      <c r="Q244" s="3"/>
    </row>
    <row r="245" spans="1:17" ht="60" customHeight="1" x14ac:dyDescent="0.25">
      <c r="A245" s="9">
        <f>IF(F245="","",ROW()-19-COUNTBLANK($F$20:F245))</f>
        <v>201</v>
      </c>
      <c r="B245" s="4" t="s">
        <v>598</v>
      </c>
      <c r="C245" s="4" t="s">
        <v>599</v>
      </c>
      <c r="D245" s="4"/>
      <c r="E245" s="7" t="s">
        <v>600</v>
      </c>
      <c r="F245" s="7" t="s">
        <v>601</v>
      </c>
      <c r="G245" s="3" t="s">
        <v>73</v>
      </c>
      <c r="H245" s="3"/>
      <c r="I245" s="3"/>
      <c r="J245" s="3"/>
      <c r="K245" s="3"/>
      <c r="L245" s="3"/>
      <c r="M245" s="3"/>
      <c r="N245" s="3"/>
      <c r="O245" s="3"/>
      <c r="P245" s="3"/>
      <c r="Q245" s="3"/>
    </row>
    <row r="246" spans="1:17" ht="60" customHeight="1" x14ac:dyDescent="0.25">
      <c r="A246" s="9">
        <f>IF(F246="","",ROW()-19-COUNTBLANK($F$20:F246))</f>
        <v>202</v>
      </c>
      <c r="B246" s="4" t="s">
        <v>602</v>
      </c>
      <c r="C246" s="4" t="s">
        <v>603</v>
      </c>
      <c r="D246" s="4"/>
      <c r="E246" s="7" t="s">
        <v>600</v>
      </c>
      <c r="F246" s="7" t="s">
        <v>604</v>
      </c>
      <c r="G246" s="3" t="s">
        <v>73</v>
      </c>
      <c r="H246" s="3"/>
      <c r="I246" s="3"/>
      <c r="J246" s="3"/>
      <c r="K246" s="3"/>
      <c r="L246" s="3"/>
      <c r="M246" s="3"/>
      <c r="N246" s="3"/>
      <c r="O246" s="3"/>
      <c r="P246" s="3"/>
      <c r="Q246" s="3"/>
    </row>
    <row r="247" spans="1:17" ht="60" customHeight="1" x14ac:dyDescent="0.25">
      <c r="A247" s="9">
        <f>IF(F247="","",ROW()-19-COUNTBLANK($F$20:F247))</f>
        <v>203</v>
      </c>
      <c r="B247" s="4" t="s">
        <v>605</v>
      </c>
      <c r="C247" s="4" t="s">
        <v>606</v>
      </c>
      <c r="D247" s="4"/>
      <c r="E247" s="7" t="s">
        <v>607</v>
      </c>
      <c r="F247" s="7" t="s">
        <v>608</v>
      </c>
      <c r="G247" s="3" t="s">
        <v>73</v>
      </c>
      <c r="H247" s="3"/>
      <c r="I247" s="3"/>
      <c r="J247" s="3"/>
      <c r="K247" s="3"/>
      <c r="L247" s="3"/>
      <c r="M247" s="3"/>
      <c r="N247" s="3"/>
      <c r="O247" s="3"/>
      <c r="P247" s="3"/>
      <c r="Q247" s="3"/>
    </row>
    <row r="248" spans="1:17" ht="60" customHeight="1" x14ac:dyDescent="0.25">
      <c r="A248" s="9">
        <f>IF(F248="","",ROW()-19-COUNTBLANK($F$20:F248))</f>
        <v>204</v>
      </c>
      <c r="B248" s="4" t="s">
        <v>609</v>
      </c>
      <c r="C248" s="4" t="s">
        <v>610</v>
      </c>
      <c r="D248" s="4"/>
      <c r="E248" s="7" t="s">
        <v>611</v>
      </c>
      <c r="F248" s="7" t="s">
        <v>612</v>
      </c>
      <c r="G248" s="3" t="s">
        <v>55</v>
      </c>
      <c r="H248" s="3"/>
      <c r="I248" s="3"/>
      <c r="J248" s="3"/>
      <c r="K248" s="3"/>
      <c r="L248" s="3"/>
      <c r="M248" s="3"/>
      <c r="N248" s="3"/>
      <c r="O248" s="3"/>
      <c r="P248" s="3"/>
      <c r="Q248" s="3"/>
    </row>
    <row r="249" spans="1:17" ht="60" customHeight="1" x14ac:dyDescent="0.25">
      <c r="A249" s="9">
        <f>IF(F249="","",ROW()-19-COUNTBLANK($F$20:F249))</f>
        <v>205</v>
      </c>
      <c r="B249" s="17" t="s">
        <v>492</v>
      </c>
      <c r="C249" s="4" t="s">
        <v>493</v>
      </c>
      <c r="D249" s="4" t="s">
        <v>613</v>
      </c>
      <c r="E249" s="7" t="s">
        <v>614</v>
      </c>
      <c r="F249" s="7" t="s">
        <v>615</v>
      </c>
      <c r="G249" s="3" t="s">
        <v>50</v>
      </c>
      <c r="H249" s="3"/>
      <c r="I249" s="3"/>
      <c r="J249" s="3"/>
      <c r="K249" s="3"/>
      <c r="L249" s="3"/>
      <c r="M249" s="3"/>
      <c r="N249" s="3"/>
      <c r="O249" s="3"/>
      <c r="P249" s="3"/>
      <c r="Q249" s="3"/>
    </row>
    <row r="250" spans="1:17" ht="60" customHeight="1" x14ac:dyDescent="0.25">
      <c r="A250" s="9">
        <f>IF(F250="","",ROW()-19-COUNTBLANK($F$20:F250))</f>
        <v>206</v>
      </c>
      <c r="B250" s="18"/>
      <c r="C250" s="4" t="s">
        <v>497</v>
      </c>
      <c r="D250" s="4" t="s">
        <v>616</v>
      </c>
      <c r="E250" s="7" t="s">
        <v>617</v>
      </c>
      <c r="F250" s="7" t="s">
        <v>618</v>
      </c>
      <c r="G250" s="3" t="s">
        <v>50</v>
      </c>
      <c r="H250" s="3"/>
      <c r="I250" s="3"/>
      <c r="J250" s="3"/>
      <c r="K250" s="3"/>
      <c r="L250" s="3"/>
      <c r="M250" s="3"/>
      <c r="N250" s="3"/>
      <c r="O250" s="3"/>
      <c r="P250" s="3"/>
      <c r="Q250" s="3"/>
    </row>
    <row r="251" spans="1:17" ht="60" customHeight="1" x14ac:dyDescent="0.25">
      <c r="A251" s="9">
        <f>IF(F251="","",ROW()-19-COUNTBLANK($F$20:F251))</f>
        <v>207</v>
      </c>
      <c r="B251" s="18"/>
      <c r="C251" s="4" t="s">
        <v>619</v>
      </c>
      <c r="D251" s="4" t="s">
        <v>620</v>
      </c>
      <c r="E251" s="7" t="s">
        <v>621</v>
      </c>
      <c r="F251" s="7" t="s">
        <v>622</v>
      </c>
      <c r="G251" s="3" t="s">
        <v>55</v>
      </c>
      <c r="H251" s="3"/>
      <c r="I251" s="3"/>
      <c r="J251" s="3"/>
      <c r="K251" s="3"/>
      <c r="L251" s="3"/>
      <c r="M251" s="3"/>
      <c r="N251" s="3"/>
      <c r="O251" s="3"/>
      <c r="P251" s="3"/>
      <c r="Q251" s="3"/>
    </row>
    <row r="252" spans="1:17" ht="60" customHeight="1" x14ac:dyDescent="0.25">
      <c r="A252" s="9">
        <f>IF(F252="","",ROW()-19-COUNTBLANK($F$20:F252))</f>
        <v>208</v>
      </c>
      <c r="B252" s="19"/>
      <c r="C252" s="4" t="s">
        <v>623</v>
      </c>
      <c r="D252" s="4" t="s">
        <v>624</v>
      </c>
      <c r="E252" s="7" t="s">
        <v>625</v>
      </c>
      <c r="F252" s="7" t="s">
        <v>626</v>
      </c>
      <c r="G252" s="3" t="s">
        <v>55</v>
      </c>
      <c r="H252" s="3"/>
      <c r="I252" s="3"/>
      <c r="J252" s="3"/>
      <c r="K252" s="3"/>
      <c r="L252" s="3"/>
      <c r="M252" s="3"/>
      <c r="N252" s="3"/>
      <c r="O252" s="3"/>
      <c r="P252" s="3"/>
      <c r="Q252" s="3"/>
    </row>
    <row r="253" spans="1:17" ht="60" customHeight="1" x14ac:dyDescent="0.25">
      <c r="A253" s="9">
        <f>IF(F253="","",ROW()-19-COUNTBLANK($F$20:F253))</f>
        <v>209</v>
      </c>
      <c r="B253" s="17" t="s">
        <v>481</v>
      </c>
      <c r="C253" s="4" t="s">
        <v>482</v>
      </c>
      <c r="D253" s="4" t="s">
        <v>536</v>
      </c>
      <c r="E253" s="7" t="s">
        <v>600</v>
      </c>
      <c r="F253" s="7" t="s">
        <v>485</v>
      </c>
      <c r="G253" s="3" t="s">
        <v>73</v>
      </c>
      <c r="H253" s="3"/>
      <c r="I253" s="3"/>
      <c r="J253" s="3"/>
      <c r="K253" s="3"/>
      <c r="L253" s="3"/>
      <c r="M253" s="3"/>
      <c r="N253" s="3"/>
      <c r="O253" s="3"/>
      <c r="P253" s="3"/>
      <c r="Q253" s="3"/>
    </row>
    <row r="254" spans="1:17" ht="60" customHeight="1" x14ac:dyDescent="0.25">
      <c r="A254" s="9">
        <f>IF(F254="","",ROW()-19-COUNTBLANK($F$20:F254))</f>
        <v>210</v>
      </c>
      <c r="B254" s="18"/>
      <c r="C254" s="4" t="s">
        <v>486</v>
      </c>
      <c r="D254" s="4" t="s">
        <v>538</v>
      </c>
      <c r="E254" s="7" t="s">
        <v>600</v>
      </c>
      <c r="F254" s="7" t="s">
        <v>485</v>
      </c>
      <c r="G254" s="3" t="s">
        <v>73</v>
      </c>
      <c r="H254" s="3"/>
      <c r="I254" s="3"/>
      <c r="J254" s="3"/>
      <c r="K254" s="3"/>
      <c r="L254" s="3"/>
      <c r="M254" s="3"/>
      <c r="N254" s="3"/>
      <c r="O254" s="3"/>
      <c r="P254" s="3"/>
      <c r="Q254" s="3"/>
    </row>
    <row r="255" spans="1:17" ht="60" customHeight="1" x14ac:dyDescent="0.25">
      <c r="A255" s="9">
        <f>IF(F255="","",ROW()-19-COUNTBLANK($F$20:F255))</f>
        <v>211</v>
      </c>
      <c r="B255" s="19"/>
      <c r="C255" s="4" t="s">
        <v>488</v>
      </c>
      <c r="D255" s="4" t="s">
        <v>539</v>
      </c>
      <c r="E255" s="7" t="s">
        <v>627</v>
      </c>
      <c r="F255" s="7" t="s">
        <v>491</v>
      </c>
      <c r="G255" s="3" t="s">
        <v>73</v>
      </c>
      <c r="H255" s="3"/>
      <c r="I255" s="3"/>
      <c r="J255" s="3"/>
      <c r="K255" s="3"/>
      <c r="L255" s="3"/>
      <c r="M255" s="3"/>
      <c r="N255" s="3"/>
      <c r="O255" s="3"/>
      <c r="P255" s="3"/>
      <c r="Q255" s="3"/>
    </row>
    <row r="256" spans="1:17" ht="60" customHeight="1" x14ac:dyDescent="0.25">
      <c r="A256" s="9">
        <f>IF(F256="","",ROW()-19-COUNTBLANK($F$20:F256))</f>
        <v>212</v>
      </c>
      <c r="B256" s="4" t="s">
        <v>473</v>
      </c>
      <c r="C256" s="4" t="s">
        <v>628</v>
      </c>
      <c r="D256" s="4"/>
      <c r="E256" s="7" t="s">
        <v>629</v>
      </c>
      <c r="F256" s="7" t="s">
        <v>630</v>
      </c>
      <c r="G256" s="3" t="s">
        <v>50</v>
      </c>
      <c r="H256" s="3"/>
      <c r="I256" s="3"/>
      <c r="J256" s="3"/>
      <c r="K256" s="3"/>
      <c r="L256" s="3"/>
      <c r="M256" s="3"/>
      <c r="N256" s="3"/>
      <c r="O256" s="3"/>
      <c r="P256" s="3"/>
      <c r="Q256" s="3"/>
    </row>
    <row r="257" spans="1:17" ht="60" customHeight="1" x14ac:dyDescent="0.25">
      <c r="A257" s="9">
        <f>IF(F257="","",ROW()-19-COUNTBLANK($F$20:F257))</f>
        <v>213</v>
      </c>
      <c r="B257" s="17" t="s">
        <v>473</v>
      </c>
      <c r="C257" s="17" t="s">
        <v>505</v>
      </c>
      <c r="D257" s="4" t="s">
        <v>506</v>
      </c>
      <c r="E257" s="7" t="s">
        <v>507</v>
      </c>
      <c r="F257" s="7" t="s">
        <v>508</v>
      </c>
      <c r="G257" s="3" t="s">
        <v>55</v>
      </c>
      <c r="H257" s="3"/>
      <c r="I257" s="3"/>
      <c r="J257" s="3"/>
      <c r="K257" s="3"/>
      <c r="L257" s="3"/>
      <c r="M257" s="3"/>
      <c r="N257" s="3"/>
      <c r="O257" s="3"/>
      <c r="P257" s="3"/>
      <c r="Q257" s="3"/>
    </row>
    <row r="258" spans="1:17" ht="60" customHeight="1" x14ac:dyDescent="0.25">
      <c r="A258" s="9">
        <f>IF(F258="","",ROW()-19-COUNTBLANK($F$20:F258))</f>
        <v>214</v>
      </c>
      <c r="B258" s="18"/>
      <c r="C258" s="19"/>
      <c r="D258" s="4" t="s">
        <v>509</v>
      </c>
      <c r="E258" s="7" t="s">
        <v>510</v>
      </c>
      <c r="F258" s="7" t="s">
        <v>511</v>
      </c>
      <c r="G258" s="3" t="s">
        <v>55</v>
      </c>
      <c r="H258" s="3"/>
      <c r="I258" s="3"/>
      <c r="J258" s="3"/>
      <c r="K258" s="3"/>
      <c r="L258" s="3"/>
      <c r="M258" s="3"/>
      <c r="N258" s="3"/>
      <c r="O258" s="3"/>
      <c r="P258" s="3"/>
      <c r="Q258" s="3"/>
    </row>
    <row r="259" spans="1:17" ht="60" customHeight="1" x14ac:dyDescent="0.25">
      <c r="A259" s="9">
        <f>IF(F259="","",ROW()-19-COUNTBLANK($F$20:F259))</f>
        <v>215</v>
      </c>
      <c r="B259" s="18"/>
      <c r="C259" s="4" t="s">
        <v>512</v>
      </c>
      <c r="D259" s="4" t="s">
        <v>513</v>
      </c>
      <c r="E259" s="7" t="s">
        <v>514</v>
      </c>
      <c r="F259" s="7" t="s">
        <v>515</v>
      </c>
      <c r="G259" s="3" t="s">
        <v>55</v>
      </c>
      <c r="H259" s="3"/>
      <c r="I259" s="3"/>
      <c r="J259" s="3"/>
      <c r="K259" s="3"/>
      <c r="L259" s="3"/>
      <c r="M259" s="3"/>
      <c r="N259" s="3"/>
      <c r="O259" s="3"/>
      <c r="P259" s="3"/>
      <c r="Q259" s="3"/>
    </row>
    <row r="260" spans="1:17" ht="60" customHeight="1" x14ac:dyDescent="0.25">
      <c r="A260" s="9">
        <f>IF(F260="","",ROW()-19-COUNTBLANK($F$20:F260))</f>
        <v>216</v>
      </c>
      <c r="B260" s="19"/>
      <c r="C260" s="4" t="s">
        <v>516</v>
      </c>
      <c r="D260" s="4" t="s">
        <v>517</v>
      </c>
      <c r="E260" s="7" t="s">
        <v>518</v>
      </c>
      <c r="F260" s="7" t="s">
        <v>519</v>
      </c>
      <c r="G260" s="3" t="s">
        <v>55</v>
      </c>
      <c r="H260" s="3"/>
      <c r="I260" s="3"/>
      <c r="J260" s="3"/>
      <c r="K260" s="3"/>
      <c r="L260" s="3"/>
      <c r="M260" s="3"/>
      <c r="N260" s="3"/>
      <c r="O260" s="3"/>
      <c r="P260" s="3"/>
      <c r="Q260" s="3"/>
    </row>
    <row r="261" spans="1:17" ht="60" customHeight="1" x14ac:dyDescent="0.25">
      <c r="A261" s="9">
        <f>IF(F261="","",ROW()-19-COUNTBLANK($F$20:F261))</f>
        <v>217</v>
      </c>
      <c r="B261" s="17" t="s">
        <v>138</v>
      </c>
      <c r="C261" s="17" t="s">
        <v>543</v>
      </c>
      <c r="D261" s="4" t="s">
        <v>631</v>
      </c>
      <c r="E261" s="7" t="s">
        <v>632</v>
      </c>
      <c r="F261" s="7" t="s">
        <v>633</v>
      </c>
      <c r="G261" s="3" t="s">
        <v>50</v>
      </c>
      <c r="H261" s="3"/>
      <c r="I261" s="3"/>
      <c r="J261" s="3"/>
      <c r="K261" s="3"/>
      <c r="L261" s="3"/>
      <c r="M261" s="3"/>
      <c r="N261" s="3"/>
      <c r="O261" s="3"/>
      <c r="P261" s="3"/>
      <c r="Q261" s="3"/>
    </row>
    <row r="262" spans="1:17" ht="60" customHeight="1" x14ac:dyDescent="0.25">
      <c r="A262" s="9">
        <f>IF(F262="","",ROW()-19-COUNTBLANK($F$20:F262))</f>
        <v>218</v>
      </c>
      <c r="B262" s="18"/>
      <c r="C262" s="19"/>
      <c r="D262" s="4" t="s">
        <v>634</v>
      </c>
      <c r="E262" s="7" t="s">
        <v>635</v>
      </c>
      <c r="F262" s="7" t="s">
        <v>636</v>
      </c>
      <c r="G262" s="3" t="s">
        <v>50</v>
      </c>
      <c r="H262" s="3"/>
      <c r="I262" s="3"/>
      <c r="J262" s="3"/>
      <c r="K262" s="3"/>
      <c r="L262" s="3"/>
      <c r="M262" s="3"/>
      <c r="N262" s="3"/>
      <c r="O262" s="3"/>
      <c r="P262" s="3"/>
      <c r="Q262" s="3"/>
    </row>
    <row r="263" spans="1:17" ht="60" customHeight="1" x14ac:dyDescent="0.25">
      <c r="A263" s="9">
        <f>IF(F263="","",ROW()-19-COUNTBLANK($F$20:F263))</f>
        <v>219</v>
      </c>
      <c r="B263" s="18"/>
      <c r="C263" s="4" t="s">
        <v>550</v>
      </c>
      <c r="D263" s="4" t="s">
        <v>551</v>
      </c>
      <c r="E263" s="7" t="s">
        <v>637</v>
      </c>
      <c r="F263" s="7" t="s">
        <v>553</v>
      </c>
      <c r="G263" s="3" t="s">
        <v>55</v>
      </c>
      <c r="H263" s="3"/>
      <c r="I263" s="3"/>
      <c r="J263" s="3"/>
      <c r="K263" s="3"/>
      <c r="L263" s="3"/>
      <c r="M263" s="3"/>
      <c r="N263" s="3"/>
      <c r="O263" s="3"/>
      <c r="P263" s="3"/>
      <c r="Q263" s="3"/>
    </row>
    <row r="264" spans="1:17" ht="60" customHeight="1" x14ac:dyDescent="0.25">
      <c r="A264" s="9">
        <f>IF(F264="","",ROW()-19-COUNTBLANK($F$20:F264))</f>
        <v>220</v>
      </c>
      <c r="B264" s="18"/>
      <c r="C264" s="4" t="s">
        <v>554</v>
      </c>
      <c r="D264" s="4" t="s">
        <v>555</v>
      </c>
      <c r="E264" s="7" t="s">
        <v>638</v>
      </c>
      <c r="F264" s="7" t="s">
        <v>557</v>
      </c>
      <c r="G264" s="3" t="s">
        <v>55</v>
      </c>
      <c r="H264" s="3"/>
      <c r="I264" s="3"/>
      <c r="J264" s="3"/>
      <c r="K264" s="3"/>
      <c r="L264" s="3"/>
      <c r="M264" s="3"/>
      <c r="N264" s="3"/>
      <c r="O264" s="3"/>
      <c r="P264" s="3"/>
      <c r="Q264" s="3"/>
    </row>
    <row r="265" spans="1:17" ht="60" customHeight="1" x14ac:dyDescent="0.25">
      <c r="A265" s="9">
        <f>IF(F265="","",ROW()-19-COUNTBLANK($F$20:F265))</f>
        <v>221</v>
      </c>
      <c r="B265" s="18"/>
      <c r="C265" s="17" t="s">
        <v>558</v>
      </c>
      <c r="D265" s="4" t="s">
        <v>639</v>
      </c>
      <c r="E265" s="7" t="s">
        <v>640</v>
      </c>
      <c r="F265" s="7" t="s">
        <v>561</v>
      </c>
      <c r="G265" s="3" t="s">
        <v>55</v>
      </c>
      <c r="H265" s="3"/>
      <c r="I265" s="3"/>
      <c r="J265" s="3"/>
      <c r="K265" s="3"/>
      <c r="L265" s="3"/>
      <c r="M265" s="3"/>
      <c r="N265" s="3"/>
      <c r="O265" s="3"/>
      <c r="P265" s="3"/>
      <c r="Q265" s="3"/>
    </row>
    <row r="266" spans="1:17" ht="60" customHeight="1" x14ac:dyDescent="0.25">
      <c r="A266" s="9">
        <f>IF(F266="","",ROW()-19-COUNTBLANK($F$20:F266))</f>
        <v>222</v>
      </c>
      <c r="B266" s="18"/>
      <c r="C266" s="18"/>
      <c r="D266" s="4" t="s">
        <v>562</v>
      </c>
      <c r="E266" s="7" t="s">
        <v>641</v>
      </c>
      <c r="F266" s="7" t="s">
        <v>564</v>
      </c>
      <c r="G266" s="3" t="s">
        <v>50</v>
      </c>
      <c r="H266" s="3"/>
      <c r="I266" s="3"/>
      <c r="J266" s="3"/>
      <c r="K266" s="3"/>
      <c r="L266" s="3"/>
      <c r="M266" s="3"/>
      <c r="N266" s="3"/>
      <c r="O266" s="3"/>
      <c r="P266" s="3"/>
      <c r="Q266" s="3"/>
    </row>
    <row r="267" spans="1:17" ht="60" customHeight="1" x14ac:dyDescent="0.25">
      <c r="A267" s="9">
        <f>IF(F267="","",ROW()-19-COUNTBLANK($F$20:F267))</f>
        <v>223</v>
      </c>
      <c r="B267" s="19"/>
      <c r="C267" s="19"/>
      <c r="D267" s="4" t="s">
        <v>565</v>
      </c>
      <c r="E267" s="7" t="s">
        <v>642</v>
      </c>
      <c r="F267" s="7" t="s">
        <v>567</v>
      </c>
      <c r="G267" s="3" t="s">
        <v>50</v>
      </c>
      <c r="H267" s="3"/>
      <c r="I267" s="3"/>
      <c r="J267" s="3"/>
      <c r="K267" s="3"/>
      <c r="L267" s="3"/>
      <c r="M267" s="3"/>
      <c r="N267" s="3"/>
      <c r="O267" s="3"/>
      <c r="P267" s="3"/>
      <c r="Q267" s="3"/>
    </row>
    <row r="268" spans="1:17" ht="20.100000000000001" customHeight="1" x14ac:dyDescent="0.25">
      <c r="A268" s="9" t="str">
        <f>IF(F268="","",ROW()-19-COUNTBLANK($F$20:F268))</f>
        <v/>
      </c>
      <c r="B268" s="12" t="s">
        <v>643</v>
      </c>
      <c r="C268" s="12"/>
      <c r="D268" s="12"/>
      <c r="E268" s="12"/>
      <c r="F268" s="12"/>
      <c r="G268" s="12"/>
      <c r="H268" s="12"/>
      <c r="I268" s="12"/>
      <c r="J268" s="12"/>
      <c r="K268" s="12"/>
      <c r="L268" s="12"/>
      <c r="M268" s="12"/>
      <c r="N268" s="12"/>
      <c r="O268" s="12"/>
      <c r="P268" s="12"/>
      <c r="Q268" s="12"/>
    </row>
    <row r="269" spans="1:17" ht="60" customHeight="1" x14ac:dyDescent="0.25">
      <c r="A269" s="9">
        <f>IF(F269="","",ROW()-19-COUNTBLANK($F$20:F269))</f>
        <v>224</v>
      </c>
      <c r="B269" s="4" t="s">
        <v>216</v>
      </c>
      <c r="C269" s="4" t="s">
        <v>644</v>
      </c>
      <c r="D269" s="4"/>
      <c r="E269" s="7" t="s">
        <v>645</v>
      </c>
      <c r="F269" s="7" t="s">
        <v>589</v>
      </c>
      <c r="G269" s="3" t="s">
        <v>55</v>
      </c>
      <c r="H269" s="3"/>
      <c r="I269" s="3"/>
      <c r="J269" s="3"/>
      <c r="K269" s="3"/>
      <c r="L269" s="3"/>
      <c r="M269" s="3"/>
      <c r="N269" s="3"/>
      <c r="O269" s="3"/>
      <c r="P269" s="3"/>
      <c r="Q269" s="3"/>
    </row>
    <row r="270" spans="1:17" ht="60" customHeight="1" x14ac:dyDescent="0.25">
      <c r="A270" s="9">
        <f>IF(F270="","",ROW()-19-COUNTBLANK($F$20:F270))</f>
        <v>225</v>
      </c>
      <c r="B270" s="4" t="s">
        <v>132</v>
      </c>
      <c r="C270" s="4" t="s">
        <v>462</v>
      </c>
      <c r="D270" s="4"/>
      <c r="E270" s="7" t="s">
        <v>645</v>
      </c>
      <c r="F270" s="7" t="s">
        <v>590</v>
      </c>
      <c r="G270" s="3" t="s">
        <v>55</v>
      </c>
      <c r="H270" s="3"/>
      <c r="I270" s="3"/>
      <c r="J270" s="3"/>
      <c r="K270" s="3"/>
      <c r="L270" s="3"/>
      <c r="M270" s="3"/>
      <c r="N270" s="3"/>
      <c r="O270" s="3"/>
      <c r="P270" s="3"/>
      <c r="Q270" s="3"/>
    </row>
    <row r="271" spans="1:17" ht="60" customHeight="1" x14ac:dyDescent="0.25">
      <c r="A271" s="9">
        <f>IF(F271="","",ROW()-19-COUNTBLANK($F$20:F271))</f>
        <v>226</v>
      </c>
      <c r="B271" s="4" t="s">
        <v>465</v>
      </c>
      <c r="C271" s="4" t="s">
        <v>591</v>
      </c>
      <c r="D271" s="4"/>
      <c r="E271" s="7" t="s">
        <v>646</v>
      </c>
      <c r="F271" s="7" t="s">
        <v>647</v>
      </c>
      <c r="G271" s="3" t="s">
        <v>73</v>
      </c>
      <c r="H271" s="3"/>
      <c r="I271" s="3"/>
      <c r="J271" s="3"/>
      <c r="K271" s="3"/>
      <c r="L271" s="3"/>
      <c r="M271" s="3"/>
      <c r="N271" s="3"/>
      <c r="O271" s="3"/>
      <c r="P271" s="3"/>
      <c r="Q271" s="3"/>
    </row>
    <row r="272" spans="1:17" ht="60" customHeight="1" x14ac:dyDescent="0.25">
      <c r="A272" s="9">
        <f>IF(F272="","",ROW()-19-COUNTBLANK($F$20:F272))</f>
        <v>227</v>
      </c>
      <c r="B272" s="4" t="s">
        <v>594</v>
      </c>
      <c r="C272" s="4" t="s">
        <v>595</v>
      </c>
      <c r="D272" s="4"/>
      <c r="E272" s="7" t="s">
        <v>648</v>
      </c>
      <c r="F272" s="7" t="s">
        <v>649</v>
      </c>
      <c r="G272" s="3" t="s">
        <v>55</v>
      </c>
      <c r="H272" s="3"/>
      <c r="I272" s="3"/>
      <c r="J272" s="3"/>
      <c r="K272" s="3"/>
      <c r="L272" s="3"/>
      <c r="M272" s="3"/>
      <c r="N272" s="3"/>
      <c r="O272" s="3"/>
      <c r="P272" s="3"/>
      <c r="Q272" s="3"/>
    </row>
    <row r="273" spans="1:17" ht="60" customHeight="1" x14ac:dyDescent="0.25">
      <c r="A273" s="9">
        <f>IF(F273="","",ROW()-19-COUNTBLANK($F$20:F273))</f>
        <v>228</v>
      </c>
      <c r="B273" s="4" t="s">
        <v>598</v>
      </c>
      <c r="C273" s="4" t="s">
        <v>599</v>
      </c>
      <c r="D273" s="4"/>
      <c r="E273" s="7" t="s">
        <v>650</v>
      </c>
      <c r="F273" s="7" t="s">
        <v>651</v>
      </c>
      <c r="G273" s="3" t="s">
        <v>73</v>
      </c>
      <c r="H273" s="3"/>
      <c r="I273" s="3"/>
      <c r="J273" s="3"/>
      <c r="K273" s="3"/>
      <c r="L273" s="3"/>
      <c r="M273" s="3"/>
      <c r="N273" s="3"/>
      <c r="O273" s="3"/>
      <c r="P273" s="3"/>
      <c r="Q273" s="3"/>
    </row>
    <row r="274" spans="1:17" ht="60" customHeight="1" x14ac:dyDescent="0.25">
      <c r="A274" s="9">
        <f>IF(F274="","",ROW()-19-COUNTBLANK($F$20:F274))</f>
        <v>229</v>
      </c>
      <c r="B274" s="4" t="s">
        <v>602</v>
      </c>
      <c r="C274" s="4" t="s">
        <v>603</v>
      </c>
      <c r="D274" s="4"/>
      <c r="E274" s="7" t="s">
        <v>650</v>
      </c>
      <c r="F274" s="7" t="s">
        <v>604</v>
      </c>
      <c r="G274" s="3" t="s">
        <v>73</v>
      </c>
      <c r="H274" s="3"/>
      <c r="I274" s="3"/>
      <c r="J274" s="3"/>
      <c r="K274" s="3"/>
      <c r="L274" s="3"/>
      <c r="M274" s="3"/>
      <c r="N274" s="3"/>
      <c r="O274" s="3"/>
      <c r="P274" s="3"/>
      <c r="Q274" s="3"/>
    </row>
    <row r="275" spans="1:17" ht="60" customHeight="1" x14ac:dyDescent="0.25">
      <c r="A275" s="9">
        <f>IF(F275="","",ROW()-19-COUNTBLANK($F$20:F275))</f>
        <v>230</v>
      </c>
      <c r="B275" s="4" t="s">
        <v>605</v>
      </c>
      <c r="C275" s="4" t="s">
        <v>606</v>
      </c>
      <c r="D275" s="4"/>
      <c r="E275" s="7" t="s">
        <v>652</v>
      </c>
      <c r="F275" s="7" t="s">
        <v>608</v>
      </c>
      <c r="G275" s="3" t="s">
        <v>73</v>
      </c>
      <c r="H275" s="3"/>
      <c r="I275" s="3"/>
      <c r="J275" s="3"/>
      <c r="K275" s="3"/>
      <c r="L275" s="3"/>
      <c r="M275" s="3"/>
      <c r="N275" s="3"/>
      <c r="O275" s="3"/>
      <c r="P275" s="3"/>
      <c r="Q275" s="3"/>
    </row>
    <row r="276" spans="1:17" ht="60" customHeight="1" x14ac:dyDescent="0.25">
      <c r="A276" s="9">
        <f>IF(F276="","",ROW()-19-COUNTBLANK($F$20:F276))</f>
        <v>231</v>
      </c>
      <c r="B276" s="4" t="s">
        <v>609</v>
      </c>
      <c r="C276" s="4" t="s">
        <v>610</v>
      </c>
      <c r="D276" s="4"/>
      <c r="E276" s="7" t="s">
        <v>653</v>
      </c>
      <c r="F276" s="7" t="s">
        <v>612</v>
      </c>
      <c r="G276" s="3" t="s">
        <v>55</v>
      </c>
      <c r="H276" s="3"/>
      <c r="I276" s="3"/>
      <c r="J276" s="3"/>
      <c r="K276" s="3"/>
      <c r="L276" s="3"/>
      <c r="M276" s="3"/>
      <c r="N276" s="3"/>
      <c r="O276" s="3"/>
      <c r="P276" s="3"/>
      <c r="Q276" s="3"/>
    </row>
    <row r="277" spans="1:17" ht="60" customHeight="1" x14ac:dyDescent="0.25">
      <c r="A277" s="9">
        <f>IF(F277="","",ROW()-19-COUNTBLANK($F$20:F277))</f>
        <v>232</v>
      </c>
      <c r="B277" s="17" t="s">
        <v>492</v>
      </c>
      <c r="C277" s="4" t="s">
        <v>493</v>
      </c>
      <c r="D277" s="4" t="s">
        <v>613</v>
      </c>
      <c r="E277" s="7" t="s">
        <v>654</v>
      </c>
      <c r="F277" s="7" t="s">
        <v>615</v>
      </c>
      <c r="G277" s="3" t="s">
        <v>50</v>
      </c>
      <c r="H277" s="3"/>
      <c r="I277" s="3"/>
      <c r="J277" s="3"/>
      <c r="K277" s="3"/>
      <c r="L277" s="3"/>
      <c r="M277" s="3"/>
      <c r="N277" s="3"/>
      <c r="O277" s="3"/>
      <c r="P277" s="3"/>
      <c r="Q277" s="3"/>
    </row>
    <row r="278" spans="1:17" ht="60" customHeight="1" x14ac:dyDescent="0.25">
      <c r="A278" s="9">
        <f>IF(F278="","",ROW()-19-COUNTBLANK($F$20:F278))</f>
        <v>233</v>
      </c>
      <c r="B278" s="18"/>
      <c r="C278" s="4" t="s">
        <v>497</v>
      </c>
      <c r="D278" s="4" t="s">
        <v>616</v>
      </c>
      <c r="E278" s="7" t="s">
        <v>655</v>
      </c>
      <c r="F278" s="7" t="s">
        <v>618</v>
      </c>
      <c r="G278" s="3" t="s">
        <v>50</v>
      </c>
      <c r="H278" s="3"/>
      <c r="I278" s="3"/>
      <c r="J278" s="3"/>
      <c r="K278" s="3"/>
      <c r="L278" s="3"/>
      <c r="M278" s="3"/>
      <c r="N278" s="3"/>
      <c r="O278" s="3"/>
      <c r="P278" s="3"/>
      <c r="Q278" s="3"/>
    </row>
    <row r="279" spans="1:17" ht="60" customHeight="1" x14ac:dyDescent="0.25">
      <c r="A279" s="9">
        <f>IF(F279="","",ROW()-19-COUNTBLANK($F$20:F279))</f>
        <v>234</v>
      </c>
      <c r="B279" s="18"/>
      <c r="C279" s="4" t="s">
        <v>619</v>
      </c>
      <c r="D279" s="4" t="s">
        <v>620</v>
      </c>
      <c r="E279" s="7" t="s">
        <v>656</v>
      </c>
      <c r="F279" s="7" t="s">
        <v>622</v>
      </c>
      <c r="G279" s="3" t="s">
        <v>55</v>
      </c>
      <c r="H279" s="3"/>
      <c r="I279" s="3"/>
      <c r="J279" s="3"/>
      <c r="K279" s="3"/>
      <c r="L279" s="3"/>
      <c r="M279" s="3"/>
      <c r="N279" s="3"/>
      <c r="O279" s="3"/>
      <c r="P279" s="3"/>
      <c r="Q279" s="3"/>
    </row>
    <row r="280" spans="1:17" ht="60" customHeight="1" x14ac:dyDescent="0.25">
      <c r="A280" s="9">
        <f>IF(F280="","",ROW()-19-COUNTBLANK($F$20:F280))</f>
        <v>235</v>
      </c>
      <c r="B280" s="19"/>
      <c r="C280" s="4" t="s">
        <v>623</v>
      </c>
      <c r="D280" s="4" t="s">
        <v>624</v>
      </c>
      <c r="E280" s="7" t="s">
        <v>657</v>
      </c>
      <c r="F280" s="7" t="s">
        <v>626</v>
      </c>
      <c r="G280" s="3" t="s">
        <v>55</v>
      </c>
      <c r="H280" s="3"/>
      <c r="I280" s="3"/>
      <c r="J280" s="3"/>
      <c r="K280" s="3"/>
      <c r="L280" s="3"/>
      <c r="M280" s="3"/>
      <c r="N280" s="3"/>
      <c r="O280" s="3"/>
      <c r="P280" s="3"/>
      <c r="Q280" s="3"/>
    </row>
    <row r="281" spans="1:17" ht="60" customHeight="1" x14ac:dyDescent="0.25">
      <c r="A281" s="9">
        <f>IF(F281="","",ROW()-19-COUNTBLANK($F$20:F281))</f>
        <v>236</v>
      </c>
      <c r="B281" s="17" t="s">
        <v>481</v>
      </c>
      <c r="C281" s="4" t="s">
        <v>482</v>
      </c>
      <c r="D281" s="4" t="s">
        <v>536</v>
      </c>
      <c r="E281" s="7" t="s">
        <v>650</v>
      </c>
      <c r="F281" s="7" t="s">
        <v>485</v>
      </c>
      <c r="G281" s="3" t="s">
        <v>73</v>
      </c>
      <c r="H281" s="3"/>
      <c r="I281" s="3"/>
      <c r="J281" s="3"/>
      <c r="K281" s="3"/>
      <c r="L281" s="3"/>
      <c r="M281" s="3"/>
      <c r="N281" s="3"/>
      <c r="O281" s="3"/>
      <c r="P281" s="3"/>
      <c r="Q281" s="3"/>
    </row>
    <row r="282" spans="1:17" ht="60" customHeight="1" x14ac:dyDescent="0.25">
      <c r="A282" s="9">
        <f>IF(F282="","",ROW()-19-COUNTBLANK($F$20:F282))</f>
        <v>237</v>
      </c>
      <c r="B282" s="18"/>
      <c r="C282" s="4" t="s">
        <v>486</v>
      </c>
      <c r="D282" s="4" t="s">
        <v>538</v>
      </c>
      <c r="E282" s="7" t="s">
        <v>650</v>
      </c>
      <c r="F282" s="7" t="s">
        <v>485</v>
      </c>
      <c r="G282" s="3" t="s">
        <v>73</v>
      </c>
      <c r="H282" s="3"/>
      <c r="I282" s="3"/>
      <c r="J282" s="3"/>
      <c r="K282" s="3"/>
      <c r="L282" s="3"/>
      <c r="M282" s="3"/>
      <c r="N282" s="3"/>
      <c r="O282" s="3"/>
      <c r="P282" s="3"/>
      <c r="Q282" s="3"/>
    </row>
    <row r="283" spans="1:17" ht="60" customHeight="1" x14ac:dyDescent="0.25">
      <c r="A283" s="9">
        <f>IF(F283="","",ROW()-19-COUNTBLANK($F$20:F283))</f>
        <v>238</v>
      </c>
      <c r="B283" s="19"/>
      <c r="C283" s="4" t="s">
        <v>488</v>
      </c>
      <c r="D283" s="4" t="s">
        <v>539</v>
      </c>
      <c r="E283" s="7" t="s">
        <v>658</v>
      </c>
      <c r="F283" s="7" t="s">
        <v>491</v>
      </c>
      <c r="G283" s="3" t="s">
        <v>73</v>
      </c>
      <c r="H283" s="3"/>
      <c r="I283" s="3"/>
      <c r="J283" s="3"/>
      <c r="K283" s="3"/>
      <c r="L283" s="3"/>
      <c r="M283" s="3"/>
      <c r="N283" s="3"/>
      <c r="O283" s="3"/>
      <c r="P283" s="3"/>
      <c r="Q283" s="3"/>
    </row>
    <row r="284" spans="1:17" ht="60" customHeight="1" x14ac:dyDescent="0.25">
      <c r="A284" s="9">
        <f>IF(F284="","",ROW()-19-COUNTBLANK($F$20:F284))</f>
        <v>239</v>
      </c>
      <c r="B284" s="4" t="s">
        <v>473</v>
      </c>
      <c r="C284" s="4" t="s">
        <v>628</v>
      </c>
      <c r="D284" s="4"/>
      <c r="E284" s="7" t="s">
        <v>659</v>
      </c>
      <c r="F284" s="7" t="s">
        <v>660</v>
      </c>
      <c r="G284" s="3" t="s">
        <v>50</v>
      </c>
      <c r="H284" s="3"/>
      <c r="I284" s="3"/>
      <c r="J284" s="3"/>
      <c r="K284" s="3"/>
      <c r="L284" s="3"/>
      <c r="M284" s="3"/>
      <c r="N284" s="3"/>
      <c r="O284" s="3"/>
      <c r="P284" s="3"/>
      <c r="Q284" s="3"/>
    </row>
    <row r="285" spans="1:17" ht="60" customHeight="1" x14ac:dyDescent="0.25">
      <c r="A285" s="9">
        <f>IF(F285="","",ROW()-19-COUNTBLANK($F$20:F285))</f>
        <v>240</v>
      </c>
      <c r="B285" s="17" t="s">
        <v>473</v>
      </c>
      <c r="C285" s="17" t="s">
        <v>505</v>
      </c>
      <c r="D285" s="4" t="s">
        <v>506</v>
      </c>
      <c r="E285" s="7" t="s">
        <v>507</v>
      </c>
      <c r="F285" s="7" t="s">
        <v>508</v>
      </c>
      <c r="G285" s="3" t="s">
        <v>55</v>
      </c>
      <c r="H285" s="3"/>
      <c r="I285" s="3"/>
      <c r="J285" s="3"/>
      <c r="K285" s="3"/>
      <c r="L285" s="3"/>
      <c r="M285" s="3"/>
      <c r="N285" s="3"/>
      <c r="O285" s="3"/>
      <c r="P285" s="3"/>
      <c r="Q285" s="3"/>
    </row>
    <row r="286" spans="1:17" ht="60" customHeight="1" x14ac:dyDescent="0.25">
      <c r="A286" s="9">
        <f>IF(F286="","",ROW()-19-COUNTBLANK($F$20:F286))</f>
        <v>241</v>
      </c>
      <c r="B286" s="18"/>
      <c r="C286" s="19"/>
      <c r="D286" s="4" t="s">
        <v>509</v>
      </c>
      <c r="E286" s="7" t="s">
        <v>510</v>
      </c>
      <c r="F286" s="7" t="s">
        <v>511</v>
      </c>
      <c r="G286" s="3" t="s">
        <v>55</v>
      </c>
      <c r="H286" s="3"/>
      <c r="I286" s="3"/>
      <c r="J286" s="3"/>
      <c r="K286" s="3"/>
      <c r="L286" s="3"/>
      <c r="M286" s="3"/>
      <c r="N286" s="3"/>
      <c r="O286" s="3"/>
      <c r="P286" s="3"/>
      <c r="Q286" s="3"/>
    </row>
    <row r="287" spans="1:17" ht="60" customHeight="1" x14ac:dyDescent="0.25">
      <c r="A287" s="9">
        <f>IF(F287="","",ROW()-19-COUNTBLANK($F$20:F287))</f>
        <v>242</v>
      </c>
      <c r="B287" s="18"/>
      <c r="C287" s="4" t="s">
        <v>512</v>
      </c>
      <c r="D287" s="4" t="s">
        <v>513</v>
      </c>
      <c r="E287" s="7" t="s">
        <v>514</v>
      </c>
      <c r="F287" s="7" t="s">
        <v>515</v>
      </c>
      <c r="G287" s="3" t="s">
        <v>55</v>
      </c>
      <c r="H287" s="3"/>
      <c r="I287" s="3"/>
      <c r="J287" s="3"/>
      <c r="K287" s="3"/>
      <c r="L287" s="3"/>
      <c r="M287" s="3"/>
      <c r="N287" s="3"/>
      <c r="O287" s="3"/>
      <c r="P287" s="3"/>
      <c r="Q287" s="3"/>
    </row>
    <row r="288" spans="1:17" ht="60" customHeight="1" x14ac:dyDescent="0.25">
      <c r="A288" s="9">
        <f>IF(F288="","",ROW()-19-COUNTBLANK($F$20:F288))</f>
        <v>243</v>
      </c>
      <c r="B288" s="19"/>
      <c r="C288" s="4" t="s">
        <v>516</v>
      </c>
      <c r="D288" s="4" t="s">
        <v>517</v>
      </c>
      <c r="E288" s="7" t="s">
        <v>518</v>
      </c>
      <c r="F288" s="7" t="s">
        <v>519</v>
      </c>
      <c r="G288" s="3" t="s">
        <v>55</v>
      </c>
      <c r="H288" s="3"/>
      <c r="I288" s="3"/>
      <c r="J288" s="3"/>
      <c r="K288" s="3"/>
      <c r="L288" s="3"/>
      <c r="M288" s="3"/>
      <c r="N288" s="3"/>
      <c r="O288" s="3"/>
      <c r="P288" s="3"/>
      <c r="Q288" s="3"/>
    </row>
    <row r="289" spans="1:17" ht="60" customHeight="1" x14ac:dyDescent="0.25">
      <c r="A289" s="9">
        <f>IF(F289="","",ROW()-19-COUNTBLANK($F$20:F289))</f>
        <v>244</v>
      </c>
      <c r="B289" s="17" t="s">
        <v>138</v>
      </c>
      <c r="C289" s="17" t="s">
        <v>543</v>
      </c>
      <c r="D289" s="4" t="s">
        <v>661</v>
      </c>
      <c r="E289" s="7" t="s">
        <v>662</v>
      </c>
      <c r="F289" s="7" t="s">
        <v>663</v>
      </c>
      <c r="G289" s="3" t="s">
        <v>50</v>
      </c>
      <c r="H289" s="3"/>
      <c r="I289" s="3"/>
      <c r="J289" s="3"/>
      <c r="K289" s="3"/>
      <c r="L289" s="3"/>
      <c r="M289" s="3"/>
      <c r="N289" s="3"/>
      <c r="O289" s="3"/>
      <c r="P289" s="3"/>
      <c r="Q289" s="3"/>
    </row>
    <row r="290" spans="1:17" ht="60" customHeight="1" x14ac:dyDescent="0.25">
      <c r="A290" s="9">
        <f>IF(F290="","",ROW()-19-COUNTBLANK($F$20:F290))</f>
        <v>245</v>
      </c>
      <c r="B290" s="18"/>
      <c r="C290" s="19"/>
      <c r="D290" s="4" t="s">
        <v>664</v>
      </c>
      <c r="E290" s="7" t="s">
        <v>665</v>
      </c>
      <c r="F290" s="7" t="s">
        <v>666</v>
      </c>
      <c r="G290" s="3" t="s">
        <v>50</v>
      </c>
      <c r="H290" s="3"/>
      <c r="I290" s="3"/>
      <c r="J290" s="3"/>
      <c r="K290" s="3"/>
      <c r="L290" s="3"/>
      <c r="M290" s="3"/>
      <c r="N290" s="3"/>
      <c r="O290" s="3"/>
      <c r="P290" s="3"/>
      <c r="Q290" s="3"/>
    </row>
    <row r="291" spans="1:17" ht="60" customHeight="1" x14ac:dyDescent="0.25">
      <c r="A291" s="9">
        <f>IF(F291="","",ROW()-19-COUNTBLANK($F$20:F291))</f>
        <v>246</v>
      </c>
      <c r="B291" s="18"/>
      <c r="C291" s="4" t="s">
        <v>550</v>
      </c>
      <c r="D291" s="4" t="s">
        <v>551</v>
      </c>
      <c r="E291" s="7" t="s">
        <v>667</v>
      </c>
      <c r="F291" s="7" t="s">
        <v>553</v>
      </c>
      <c r="G291" s="3" t="s">
        <v>55</v>
      </c>
      <c r="H291" s="3"/>
      <c r="I291" s="3"/>
      <c r="J291" s="3"/>
      <c r="K291" s="3"/>
      <c r="L291" s="3"/>
      <c r="M291" s="3"/>
      <c r="N291" s="3"/>
      <c r="O291" s="3"/>
      <c r="P291" s="3"/>
      <c r="Q291" s="3"/>
    </row>
    <row r="292" spans="1:17" ht="60" customHeight="1" x14ac:dyDescent="0.25">
      <c r="A292" s="9">
        <f>IF(F292="","",ROW()-19-COUNTBLANK($F$20:F292))</f>
        <v>247</v>
      </c>
      <c r="B292" s="18"/>
      <c r="C292" s="4" t="s">
        <v>554</v>
      </c>
      <c r="D292" s="4" t="s">
        <v>555</v>
      </c>
      <c r="E292" s="7" t="s">
        <v>668</v>
      </c>
      <c r="F292" s="7" t="s">
        <v>557</v>
      </c>
      <c r="G292" s="3" t="s">
        <v>55</v>
      </c>
      <c r="H292" s="3"/>
      <c r="I292" s="3"/>
      <c r="J292" s="3"/>
      <c r="K292" s="3"/>
      <c r="L292" s="3"/>
      <c r="M292" s="3"/>
      <c r="N292" s="3"/>
      <c r="O292" s="3"/>
      <c r="P292" s="3"/>
      <c r="Q292" s="3"/>
    </row>
    <row r="293" spans="1:17" ht="60" customHeight="1" x14ac:dyDescent="0.25">
      <c r="A293" s="9">
        <f>IF(F293="","",ROW()-19-COUNTBLANK($F$20:F293))</f>
        <v>248</v>
      </c>
      <c r="B293" s="18"/>
      <c r="C293" s="17" t="s">
        <v>558</v>
      </c>
      <c r="D293" s="4" t="s">
        <v>669</v>
      </c>
      <c r="E293" s="7" t="s">
        <v>670</v>
      </c>
      <c r="F293" s="7" t="s">
        <v>561</v>
      </c>
      <c r="G293" s="3" t="s">
        <v>55</v>
      </c>
      <c r="H293" s="3"/>
      <c r="I293" s="3"/>
      <c r="J293" s="3"/>
      <c r="K293" s="3"/>
      <c r="L293" s="3"/>
      <c r="M293" s="3"/>
      <c r="N293" s="3"/>
      <c r="O293" s="3"/>
      <c r="P293" s="3"/>
      <c r="Q293" s="3"/>
    </row>
    <row r="294" spans="1:17" ht="60" customHeight="1" x14ac:dyDescent="0.25">
      <c r="A294" s="9">
        <f>IF(F294="","",ROW()-19-COUNTBLANK($F$20:F294))</f>
        <v>249</v>
      </c>
      <c r="B294" s="18"/>
      <c r="C294" s="18"/>
      <c r="D294" s="4" t="s">
        <v>562</v>
      </c>
      <c r="E294" s="7" t="s">
        <v>671</v>
      </c>
      <c r="F294" s="7" t="s">
        <v>564</v>
      </c>
      <c r="G294" s="3" t="s">
        <v>50</v>
      </c>
      <c r="H294" s="3"/>
      <c r="I294" s="3"/>
      <c r="J294" s="3"/>
      <c r="K294" s="3"/>
      <c r="L294" s="3"/>
      <c r="M294" s="3"/>
      <c r="N294" s="3"/>
      <c r="O294" s="3"/>
      <c r="P294" s="3"/>
      <c r="Q294" s="3"/>
    </row>
    <row r="295" spans="1:17" ht="60" customHeight="1" x14ac:dyDescent="0.25">
      <c r="A295" s="9">
        <f>IF(F295="","",ROW()-19-COUNTBLANK($F$20:F295))</f>
        <v>250</v>
      </c>
      <c r="B295" s="19"/>
      <c r="C295" s="19"/>
      <c r="D295" s="4" t="s">
        <v>565</v>
      </c>
      <c r="E295" s="7" t="s">
        <v>672</v>
      </c>
      <c r="F295" s="7" t="s">
        <v>567</v>
      </c>
      <c r="G295" s="3" t="s">
        <v>50</v>
      </c>
      <c r="H295" s="3"/>
      <c r="I295" s="3"/>
      <c r="J295" s="3"/>
      <c r="K295" s="3"/>
      <c r="L295" s="3"/>
      <c r="M295" s="3"/>
      <c r="N295" s="3"/>
      <c r="O295" s="3"/>
      <c r="P295" s="3"/>
      <c r="Q295" s="3"/>
    </row>
    <row r="296" spans="1:17" ht="20.100000000000001" customHeight="1" x14ac:dyDescent="0.25">
      <c r="A296" s="9" t="str">
        <f>IF(F296="","",ROW()-19-COUNTBLANK($F$20:F296))</f>
        <v/>
      </c>
      <c r="B296" s="12" t="s">
        <v>673</v>
      </c>
      <c r="C296" s="12"/>
      <c r="D296" s="12"/>
      <c r="E296" s="12"/>
      <c r="F296" s="12"/>
      <c r="G296" s="12"/>
      <c r="H296" s="12"/>
      <c r="I296" s="12"/>
      <c r="J296" s="12"/>
      <c r="K296" s="12"/>
      <c r="L296" s="12"/>
      <c r="M296" s="12"/>
      <c r="N296" s="12"/>
      <c r="O296" s="12"/>
      <c r="P296" s="12"/>
      <c r="Q296" s="12"/>
    </row>
    <row r="297" spans="1:17" ht="60" customHeight="1" x14ac:dyDescent="0.25">
      <c r="A297" s="9">
        <f>IF(F297="","",ROW()-19-COUNTBLANK($F$20:F297))</f>
        <v>251</v>
      </c>
      <c r="B297" s="4" t="s">
        <v>216</v>
      </c>
      <c r="C297" s="4" t="s">
        <v>674</v>
      </c>
      <c r="D297" s="4"/>
      <c r="E297" s="7" t="s">
        <v>675</v>
      </c>
      <c r="F297" s="7" t="s">
        <v>589</v>
      </c>
      <c r="G297" s="3" t="s">
        <v>55</v>
      </c>
      <c r="H297" s="3"/>
      <c r="I297" s="3"/>
      <c r="J297" s="3"/>
      <c r="K297" s="3"/>
      <c r="L297" s="3"/>
      <c r="M297" s="3"/>
      <c r="N297" s="3"/>
      <c r="O297" s="3"/>
      <c r="P297" s="3"/>
      <c r="Q297" s="3"/>
    </row>
    <row r="298" spans="1:17" ht="60" customHeight="1" x14ac:dyDescent="0.25">
      <c r="A298" s="9">
        <f>IF(F298="","",ROW()-19-COUNTBLANK($F$20:F298))</f>
        <v>252</v>
      </c>
      <c r="B298" s="4" t="s">
        <v>132</v>
      </c>
      <c r="C298" s="4" t="s">
        <v>462</v>
      </c>
      <c r="D298" s="4"/>
      <c r="E298" s="7" t="s">
        <v>675</v>
      </c>
      <c r="F298" s="7" t="s">
        <v>590</v>
      </c>
      <c r="G298" s="3" t="s">
        <v>55</v>
      </c>
      <c r="H298" s="3"/>
      <c r="I298" s="3"/>
      <c r="J298" s="3"/>
      <c r="K298" s="3"/>
      <c r="L298" s="3"/>
      <c r="M298" s="3"/>
      <c r="N298" s="3"/>
      <c r="O298" s="3"/>
      <c r="P298" s="3"/>
      <c r="Q298" s="3"/>
    </row>
    <row r="299" spans="1:17" ht="60" customHeight="1" x14ac:dyDescent="0.25">
      <c r="A299" s="9">
        <f>IF(F299="","",ROW()-19-COUNTBLANK($F$20:F299))</f>
        <v>253</v>
      </c>
      <c r="B299" s="4" t="s">
        <v>465</v>
      </c>
      <c r="C299" s="4" t="s">
        <v>591</v>
      </c>
      <c r="D299" s="4"/>
      <c r="E299" s="7" t="s">
        <v>676</v>
      </c>
      <c r="F299" s="7" t="s">
        <v>677</v>
      </c>
      <c r="G299" s="3" t="s">
        <v>73</v>
      </c>
      <c r="H299" s="3"/>
      <c r="I299" s="3"/>
      <c r="J299" s="3"/>
      <c r="K299" s="3"/>
      <c r="L299" s="3"/>
      <c r="M299" s="3"/>
      <c r="N299" s="3"/>
      <c r="O299" s="3"/>
      <c r="P299" s="3"/>
      <c r="Q299" s="3"/>
    </row>
    <row r="300" spans="1:17" ht="60" customHeight="1" x14ac:dyDescent="0.25">
      <c r="A300" s="9">
        <f>IF(F300="","",ROW()-19-COUNTBLANK($F$20:F300))</f>
        <v>254</v>
      </c>
      <c r="B300" s="4" t="s">
        <v>594</v>
      </c>
      <c r="C300" s="4" t="s">
        <v>595</v>
      </c>
      <c r="D300" s="4"/>
      <c r="E300" s="7" t="s">
        <v>678</v>
      </c>
      <c r="F300" s="7" t="s">
        <v>679</v>
      </c>
      <c r="G300" s="3" t="s">
        <v>55</v>
      </c>
      <c r="H300" s="3"/>
      <c r="I300" s="3"/>
      <c r="J300" s="3"/>
      <c r="K300" s="3"/>
      <c r="L300" s="3"/>
      <c r="M300" s="3"/>
      <c r="N300" s="3"/>
      <c r="O300" s="3"/>
      <c r="P300" s="3"/>
      <c r="Q300" s="3"/>
    </row>
    <row r="301" spans="1:17" ht="60" customHeight="1" x14ac:dyDescent="0.25">
      <c r="A301" s="9">
        <f>IF(F301="","",ROW()-19-COUNTBLANK($F$20:F301))</f>
        <v>255</v>
      </c>
      <c r="B301" s="4" t="s">
        <v>598</v>
      </c>
      <c r="C301" s="4" t="s">
        <v>599</v>
      </c>
      <c r="D301" s="4"/>
      <c r="E301" s="7" t="s">
        <v>680</v>
      </c>
      <c r="F301" s="7" t="s">
        <v>681</v>
      </c>
      <c r="G301" s="3" t="s">
        <v>73</v>
      </c>
      <c r="H301" s="3"/>
      <c r="I301" s="3"/>
      <c r="J301" s="3"/>
      <c r="K301" s="3"/>
      <c r="L301" s="3"/>
      <c r="M301" s="3"/>
      <c r="N301" s="3"/>
      <c r="O301" s="3"/>
      <c r="P301" s="3"/>
      <c r="Q301" s="3"/>
    </row>
    <row r="302" spans="1:17" ht="60" customHeight="1" x14ac:dyDescent="0.25">
      <c r="A302" s="9">
        <f>IF(F302="","",ROW()-19-COUNTBLANK($F$20:F302))</f>
        <v>256</v>
      </c>
      <c r="B302" s="4" t="s">
        <v>602</v>
      </c>
      <c r="C302" s="4" t="s">
        <v>603</v>
      </c>
      <c r="D302" s="4"/>
      <c r="E302" s="7" t="s">
        <v>680</v>
      </c>
      <c r="F302" s="7" t="s">
        <v>604</v>
      </c>
      <c r="G302" s="3" t="s">
        <v>73</v>
      </c>
      <c r="H302" s="3"/>
      <c r="I302" s="3"/>
      <c r="J302" s="3"/>
      <c r="K302" s="3"/>
      <c r="L302" s="3"/>
      <c r="M302" s="3"/>
      <c r="N302" s="3"/>
      <c r="O302" s="3"/>
      <c r="P302" s="3"/>
      <c r="Q302" s="3"/>
    </row>
    <row r="303" spans="1:17" ht="60" customHeight="1" x14ac:dyDescent="0.25">
      <c r="A303" s="9">
        <f>IF(F303="","",ROW()-19-COUNTBLANK($F$20:F303))</f>
        <v>257</v>
      </c>
      <c r="B303" s="4" t="s">
        <v>605</v>
      </c>
      <c r="C303" s="4" t="s">
        <v>606</v>
      </c>
      <c r="D303" s="4"/>
      <c r="E303" s="7" t="s">
        <v>682</v>
      </c>
      <c r="F303" s="7" t="s">
        <v>608</v>
      </c>
      <c r="G303" s="3" t="s">
        <v>73</v>
      </c>
      <c r="H303" s="3"/>
      <c r="I303" s="3"/>
      <c r="J303" s="3"/>
      <c r="K303" s="3"/>
      <c r="L303" s="3"/>
      <c r="M303" s="3"/>
      <c r="N303" s="3"/>
      <c r="O303" s="3"/>
      <c r="P303" s="3"/>
      <c r="Q303" s="3"/>
    </row>
    <row r="304" spans="1:17" ht="60" customHeight="1" x14ac:dyDescent="0.25">
      <c r="A304" s="9">
        <f>IF(F304="","",ROW()-19-COUNTBLANK($F$20:F304))</f>
        <v>258</v>
      </c>
      <c r="B304" s="4" t="s">
        <v>609</v>
      </c>
      <c r="C304" s="4" t="s">
        <v>610</v>
      </c>
      <c r="D304" s="4"/>
      <c r="E304" s="7" t="s">
        <v>611</v>
      </c>
      <c r="F304" s="7" t="s">
        <v>612</v>
      </c>
      <c r="G304" s="3" t="s">
        <v>55</v>
      </c>
      <c r="H304" s="3"/>
      <c r="I304" s="3"/>
      <c r="J304" s="3"/>
      <c r="K304" s="3"/>
      <c r="L304" s="3"/>
      <c r="M304" s="3"/>
      <c r="N304" s="3"/>
      <c r="O304" s="3"/>
      <c r="P304" s="3"/>
      <c r="Q304" s="3"/>
    </row>
    <row r="305" spans="1:17" ht="60" customHeight="1" x14ac:dyDescent="0.25">
      <c r="A305" s="9">
        <f>IF(F305="","",ROW()-19-COUNTBLANK($F$20:F305))</f>
        <v>259</v>
      </c>
      <c r="B305" s="17" t="s">
        <v>492</v>
      </c>
      <c r="C305" s="4" t="s">
        <v>493</v>
      </c>
      <c r="D305" s="4" t="s">
        <v>613</v>
      </c>
      <c r="E305" s="7" t="s">
        <v>683</v>
      </c>
      <c r="F305" s="7" t="s">
        <v>615</v>
      </c>
      <c r="G305" s="3" t="s">
        <v>50</v>
      </c>
      <c r="H305" s="3"/>
      <c r="I305" s="3"/>
      <c r="J305" s="3"/>
      <c r="K305" s="3"/>
      <c r="L305" s="3"/>
      <c r="M305" s="3"/>
      <c r="N305" s="3"/>
      <c r="O305" s="3"/>
      <c r="P305" s="3"/>
      <c r="Q305" s="3"/>
    </row>
    <row r="306" spans="1:17" ht="60" customHeight="1" x14ac:dyDescent="0.25">
      <c r="A306" s="9">
        <f>IF(F306="","",ROW()-19-COUNTBLANK($F$20:F306))</f>
        <v>260</v>
      </c>
      <c r="B306" s="18"/>
      <c r="C306" s="4" t="s">
        <v>497</v>
      </c>
      <c r="D306" s="4" t="s">
        <v>616</v>
      </c>
      <c r="E306" s="7" t="s">
        <v>684</v>
      </c>
      <c r="F306" s="7" t="s">
        <v>618</v>
      </c>
      <c r="G306" s="3" t="s">
        <v>50</v>
      </c>
      <c r="H306" s="3"/>
      <c r="I306" s="3"/>
      <c r="J306" s="3"/>
      <c r="K306" s="3"/>
      <c r="L306" s="3"/>
      <c r="M306" s="3"/>
      <c r="N306" s="3"/>
      <c r="O306" s="3"/>
      <c r="P306" s="3"/>
      <c r="Q306" s="3"/>
    </row>
    <row r="307" spans="1:17" ht="60" customHeight="1" x14ac:dyDescent="0.25">
      <c r="A307" s="9">
        <f>IF(F307="","",ROW()-19-COUNTBLANK($F$20:F307))</f>
        <v>261</v>
      </c>
      <c r="B307" s="18"/>
      <c r="C307" s="4" t="s">
        <v>619</v>
      </c>
      <c r="D307" s="4" t="s">
        <v>620</v>
      </c>
      <c r="E307" s="7" t="s">
        <v>621</v>
      </c>
      <c r="F307" s="7" t="s">
        <v>622</v>
      </c>
      <c r="G307" s="3" t="s">
        <v>55</v>
      </c>
      <c r="H307" s="3"/>
      <c r="I307" s="3"/>
      <c r="J307" s="3"/>
      <c r="K307" s="3"/>
      <c r="L307" s="3"/>
      <c r="M307" s="3"/>
      <c r="N307" s="3"/>
      <c r="O307" s="3"/>
      <c r="P307" s="3"/>
      <c r="Q307" s="3"/>
    </row>
    <row r="308" spans="1:17" ht="60" customHeight="1" x14ac:dyDescent="0.25">
      <c r="A308" s="9">
        <f>IF(F308="","",ROW()-19-COUNTBLANK($F$20:F308))</f>
        <v>262</v>
      </c>
      <c r="B308" s="19"/>
      <c r="C308" s="4" t="s">
        <v>623</v>
      </c>
      <c r="D308" s="4" t="s">
        <v>624</v>
      </c>
      <c r="E308" s="7" t="s">
        <v>625</v>
      </c>
      <c r="F308" s="7" t="s">
        <v>626</v>
      </c>
      <c r="G308" s="3" t="s">
        <v>55</v>
      </c>
      <c r="H308" s="3"/>
      <c r="I308" s="3"/>
      <c r="J308" s="3"/>
      <c r="K308" s="3"/>
      <c r="L308" s="3"/>
      <c r="M308" s="3"/>
      <c r="N308" s="3"/>
      <c r="O308" s="3"/>
      <c r="P308" s="3"/>
      <c r="Q308" s="3"/>
    </row>
    <row r="309" spans="1:17" ht="60" customHeight="1" x14ac:dyDescent="0.25">
      <c r="A309" s="9">
        <f>IF(F309="","",ROW()-19-COUNTBLANK($F$20:F309))</f>
        <v>263</v>
      </c>
      <c r="B309" s="17" t="s">
        <v>481</v>
      </c>
      <c r="C309" s="4" t="s">
        <v>482</v>
      </c>
      <c r="D309" s="4" t="s">
        <v>536</v>
      </c>
      <c r="E309" s="7" t="s">
        <v>680</v>
      </c>
      <c r="F309" s="7" t="s">
        <v>485</v>
      </c>
      <c r="G309" s="3" t="s">
        <v>73</v>
      </c>
      <c r="H309" s="3"/>
      <c r="I309" s="3"/>
      <c r="J309" s="3"/>
      <c r="K309" s="3"/>
      <c r="L309" s="3"/>
      <c r="M309" s="3"/>
      <c r="N309" s="3"/>
      <c r="O309" s="3"/>
      <c r="P309" s="3"/>
      <c r="Q309" s="3"/>
    </row>
    <row r="310" spans="1:17" ht="60" customHeight="1" x14ac:dyDescent="0.25">
      <c r="A310" s="9">
        <f>IF(F310="","",ROW()-19-COUNTBLANK($F$20:F310))</f>
        <v>264</v>
      </c>
      <c r="B310" s="18"/>
      <c r="C310" s="4" t="s">
        <v>486</v>
      </c>
      <c r="D310" s="4" t="s">
        <v>538</v>
      </c>
      <c r="E310" s="7" t="s">
        <v>680</v>
      </c>
      <c r="F310" s="7" t="s">
        <v>485</v>
      </c>
      <c r="G310" s="3" t="s">
        <v>73</v>
      </c>
      <c r="H310" s="3"/>
      <c r="I310" s="3"/>
      <c r="J310" s="3"/>
      <c r="K310" s="3"/>
      <c r="L310" s="3"/>
      <c r="M310" s="3"/>
      <c r="N310" s="3"/>
      <c r="O310" s="3"/>
      <c r="P310" s="3"/>
      <c r="Q310" s="3"/>
    </row>
    <row r="311" spans="1:17" ht="60" customHeight="1" x14ac:dyDescent="0.25">
      <c r="A311" s="9">
        <f>IF(F311="","",ROW()-19-COUNTBLANK($F$20:F311))</f>
        <v>265</v>
      </c>
      <c r="B311" s="19"/>
      <c r="C311" s="4" t="s">
        <v>488</v>
      </c>
      <c r="D311" s="4" t="s">
        <v>539</v>
      </c>
      <c r="E311" s="7" t="s">
        <v>685</v>
      </c>
      <c r="F311" s="7" t="s">
        <v>491</v>
      </c>
      <c r="G311" s="3" t="s">
        <v>73</v>
      </c>
      <c r="H311" s="3"/>
      <c r="I311" s="3"/>
      <c r="J311" s="3"/>
      <c r="K311" s="3"/>
      <c r="L311" s="3"/>
      <c r="M311" s="3"/>
      <c r="N311" s="3"/>
      <c r="O311" s="3"/>
      <c r="P311" s="3"/>
      <c r="Q311" s="3"/>
    </row>
    <row r="312" spans="1:17" ht="60" customHeight="1" x14ac:dyDescent="0.25">
      <c r="A312" s="9">
        <f>IF(F312="","",ROW()-19-COUNTBLANK($F$20:F312))</f>
        <v>266</v>
      </c>
      <c r="B312" s="4" t="s">
        <v>473</v>
      </c>
      <c r="C312" s="4" t="s">
        <v>628</v>
      </c>
      <c r="D312" s="4"/>
      <c r="E312" s="7" t="s">
        <v>686</v>
      </c>
      <c r="F312" s="7" t="s">
        <v>687</v>
      </c>
      <c r="G312" s="3" t="s">
        <v>50</v>
      </c>
      <c r="H312" s="3"/>
      <c r="I312" s="3"/>
      <c r="J312" s="3"/>
      <c r="K312" s="3"/>
      <c r="L312" s="3"/>
      <c r="M312" s="3"/>
      <c r="N312" s="3"/>
      <c r="O312" s="3"/>
      <c r="P312" s="3"/>
      <c r="Q312" s="3"/>
    </row>
    <row r="313" spans="1:17" ht="60" customHeight="1" x14ac:dyDescent="0.25">
      <c r="A313" s="9">
        <f>IF(F313="","",ROW()-19-COUNTBLANK($F$20:F313))</f>
        <v>267</v>
      </c>
      <c r="B313" s="17" t="s">
        <v>473</v>
      </c>
      <c r="C313" s="17" t="s">
        <v>505</v>
      </c>
      <c r="D313" s="4" t="s">
        <v>506</v>
      </c>
      <c r="E313" s="7" t="s">
        <v>507</v>
      </c>
      <c r="F313" s="7" t="s">
        <v>508</v>
      </c>
      <c r="G313" s="3" t="s">
        <v>55</v>
      </c>
      <c r="H313" s="3"/>
      <c r="I313" s="3"/>
      <c r="J313" s="3"/>
      <c r="K313" s="3"/>
      <c r="L313" s="3"/>
      <c r="M313" s="3"/>
      <c r="N313" s="3"/>
      <c r="O313" s="3"/>
      <c r="P313" s="3"/>
      <c r="Q313" s="3"/>
    </row>
    <row r="314" spans="1:17" ht="60" customHeight="1" x14ac:dyDescent="0.25">
      <c r="A314" s="9">
        <f>IF(F314="","",ROW()-19-COUNTBLANK($F$20:F314))</f>
        <v>268</v>
      </c>
      <c r="B314" s="18"/>
      <c r="C314" s="19"/>
      <c r="D314" s="4" t="s">
        <v>509</v>
      </c>
      <c r="E314" s="7" t="s">
        <v>510</v>
      </c>
      <c r="F314" s="7" t="s">
        <v>511</v>
      </c>
      <c r="G314" s="3" t="s">
        <v>55</v>
      </c>
      <c r="H314" s="3"/>
      <c r="I314" s="3"/>
      <c r="J314" s="3"/>
      <c r="K314" s="3"/>
      <c r="L314" s="3"/>
      <c r="M314" s="3"/>
      <c r="N314" s="3"/>
      <c r="O314" s="3"/>
      <c r="P314" s="3"/>
      <c r="Q314" s="3"/>
    </row>
    <row r="315" spans="1:17" ht="60" customHeight="1" x14ac:dyDescent="0.25">
      <c r="A315" s="9">
        <f>IF(F315="","",ROW()-19-COUNTBLANK($F$20:F315))</f>
        <v>269</v>
      </c>
      <c r="B315" s="18"/>
      <c r="C315" s="4" t="s">
        <v>512</v>
      </c>
      <c r="D315" s="4" t="s">
        <v>513</v>
      </c>
      <c r="E315" s="7" t="s">
        <v>514</v>
      </c>
      <c r="F315" s="7" t="s">
        <v>515</v>
      </c>
      <c r="G315" s="3" t="s">
        <v>55</v>
      </c>
      <c r="H315" s="3"/>
      <c r="I315" s="3"/>
      <c r="J315" s="3"/>
      <c r="K315" s="3"/>
      <c r="L315" s="3"/>
      <c r="M315" s="3"/>
      <c r="N315" s="3"/>
      <c r="O315" s="3"/>
      <c r="P315" s="3"/>
      <c r="Q315" s="3"/>
    </row>
    <row r="316" spans="1:17" ht="60" customHeight="1" x14ac:dyDescent="0.25">
      <c r="A316" s="9">
        <f>IF(F316="","",ROW()-19-COUNTBLANK($F$20:F316))</f>
        <v>270</v>
      </c>
      <c r="B316" s="19"/>
      <c r="C316" s="4" t="s">
        <v>516</v>
      </c>
      <c r="D316" s="4" t="s">
        <v>517</v>
      </c>
      <c r="E316" s="7" t="s">
        <v>518</v>
      </c>
      <c r="F316" s="7" t="s">
        <v>519</v>
      </c>
      <c r="G316" s="3" t="s">
        <v>55</v>
      </c>
      <c r="H316" s="3"/>
      <c r="I316" s="3"/>
      <c r="J316" s="3"/>
      <c r="K316" s="3"/>
      <c r="L316" s="3"/>
      <c r="M316" s="3"/>
      <c r="N316" s="3"/>
      <c r="O316" s="3"/>
      <c r="P316" s="3"/>
      <c r="Q316" s="3"/>
    </row>
    <row r="317" spans="1:17" ht="60" customHeight="1" x14ac:dyDescent="0.25">
      <c r="A317" s="9">
        <f>IF(F317="","",ROW()-19-COUNTBLANK($F$20:F317))</f>
        <v>271</v>
      </c>
      <c r="B317" s="17" t="s">
        <v>138</v>
      </c>
      <c r="C317" s="17" t="s">
        <v>543</v>
      </c>
      <c r="D317" s="4" t="s">
        <v>688</v>
      </c>
      <c r="E317" s="7" t="s">
        <v>689</v>
      </c>
      <c r="F317" s="7" t="s">
        <v>690</v>
      </c>
      <c r="G317" s="3" t="s">
        <v>50</v>
      </c>
      <c r="H317" s="3"/>
      <c r="I317" s="3"/>
      <c r="J317" s="3"/>
      <c r="K317" s="3"/>
      <c r="L317" s="3"/>
      <c r="M317" s="3"/>
      <c r="N317" s="3"/>
      <c r="O317" s="3"/>
      <c r="P317" s="3"/>
      <c r="Q317" s="3"/>
    </row>
    <row r="318" spans="1:17" ht="60" customHeight="1" x14ac:dyDescent="0.25">
      <c r="A318" s="9">
        <f>IF(F318="","",ROW()-19-COUNTBLANK($F$20:F318))</f>
        <v>272</v>
      </c>
      <c r="B318" s="18"/>
      <c r="C318" s="19"/>
      <c r="D318" s="4" t="s">
        <v>691</v>
      </c>
      <c r="E318" s="7" t="s">
        <v>692</v>
      </c>
      <c r="F318" s="7" t="s">
        <v>693</v>
      </c>
      <c r="G318" s="3" t="s">
        <v>50</v>
      </c>
      <c r="H318" s="3"/>
      <c r="I318" s="3"/>
      <c r="J318" s="3"/>
      <c r="K318" s="3"/>
      <c r="L318" s="3"/>
      <c r="M318" s="3"/>
      <c r="N318" s="3"/>
      <c r="O318" s="3"/>
      <c r="P318" s="3"/>
      <c r="Q318" s="3"/>
    </row>
    <row r="319" spans="1:17" ht="60" customHeight="1" x14ac:dyDescent="0.25">
      <c r="A319" s="9">
        <f>IF(F319="","",ROW()-19-COUNTBLANK($F$20:F319))</f>
        <v>273</v>
      </c>
      <c r="B319" s="18"/>
      <c r="C319" s="4" t="s">
        <v>550</v>
      </c>
      <c r="D319" s="4" t="s">
        <v>551</v>
      </c>
      <c r="E319" s="7" t="s">
        <v>694</v>
      </c>
      <c r="F319" s="7" t="s">
        <v>553</v>
      </c>
      <c r="G319" s="3" t="s">
        <v>55</v>
      </c>
      <c r="H319" s="3"/>
      <c r="I319" s="3"/>
      <c r="J319" s="3"/>
      <c r="K319" s="3"/>
      <c r="L319" s="3"/>
      <c r="M319" s="3"/>
      <c r="N319" s="3"/>
      <c r="O319" s="3"/>
      <c r="P319" s="3"/>
      <c r="Q319" s="3"/>
    </row>
    <row r="320" spans="1:17" ht="60" customHeight="1" x14ac:dyDescent="0.25">
      <c r="A320" s="9">
        <f>IF(F320="","",ROW()-19-COUNTBLANK($F$20:F320))</f>
        <v>274</v>
      </c>
      <c r="B320" s="18"/>
      <c r="C320" s="4" t="s">
        <v>554</v>
      </c>
      <c r="D320" s="4" t="s">
        <v>555</v>
      </c>
      <c r="E320" s="7" t="s">
        <v>695</v>
      </c>
      <c r="F320" s="7" t="s">
        <v>557</v>
      </c>
      <c r="G320" s="3" t="s">
        <v>55</v>
      </c>
      <c r="H320" s="3"/>
      <c r="I320" s="3"/>
      <c r="J320" s="3"/>
      <c r="K320" s="3"/>
      <c r="L320" s="3"/>
      <c r="M320" s="3"/>
      <c r="N320" s="3"/>
      <c r="O320" s="3"/>
      <c r="P320" s="3"/>
      <c r="Q320" s="3"/>
    </row>
    <row r="321" spans="1:17" ht="60" customHeight="1" x14ac:dyDescent="0.25">
      <c r="A321" s="9">
        <f>IF(F321="","",ROW()-19-COUNTBLANK($F$20:F321))</f>
        <v>275</v>
      </c>
      <c r="B321" s="18"/>
      <c r="C321" s="17" t="s">
        <v>558</v>
      </c>
      <c r="D321" s="4" t="s">
        <v>696</v>
      </c>
      <c r="E321" s="7" t="s">
        <v>697</v>
      </c>
      <c r="F321" s="7" t="s">
        <v>561</v>
      </c>
      <c r="G321" s="3" t="s">
        <v>55</v>
      </c>
      <c r="H321" s="3"/>
      <c r="I321" s="3"/>
      <c r="J321" s="3"/>
      <c r="K321" s="3"/>
      <c r="L321" s="3"/>
      <c r="M321" s="3"/>
      <c r="N321" s="3"/>
      <c r="O321" s="3"/>
      <c r="P321" s="3"/>
      <c r="Q321" s="3"/>
    </row>
    <row r="322" spans="1:17" ht="60" customHeight="1" x14ac:dyDescent="0.25">
      <c r="A322" s="9">
        <f>IF(F322="","",ROW()-19-COUNTBLANK($F$20:F322))</f>
        <v>276</v>
      </c>
      <c r="B322" s="18"/>
      <c r="C322" s="18"/>
      <c r="D322" s="4" t="s">
        <v>562</v>
      </c>
      <c r="E322" s="7" t="s">
        <v>698</v>
      </c>
      <c r="F322" s="7" t="s">
        <v>564</v>
      </c>
      <c r="G322" s="3" t="s">
        <v>50</v>
      </c>
      <c r="H322" s="3"/>
      <c r="I322" s="3"/>
      <c r="J322" s="3"/>
      <c r="K322" s="3"/>
      <c r="L322" s="3"/>
      <c r="M322" s="3"/>
      <c r="N322" s="3"/>
      <c r="O322" s="3"/>
      <c r="P322" s="3"/>
      <c r="Q322" s="3"/>
    </row>
    <row r="323" spans="1:17" ht="60" customHeight="1" x14ac:dyDescent="0.25">
      <c r="A323" s="9">
        <f>IF(F323="","",ROW()-19-COUNTBLANK($F$20:F323))</f>
        <v>277</v>
      </c>
      <c r="B323" s="19"/>
      <c r="C323" s="19"/>
      <c r="D323" s="4" t="s">
        <v>565</v>
      </c>
      <c r="E323" s="7" t="s">
        <v>699</v>
      </c>
      <c r="F323" s="7" t="s">
        <v>567</v>
      </c>
      <c r="G323" s="3" t="s">
        <v>50</v>
      </c>
      <c r="H323" s="3"/>
      <c r="I323" s="3"/>
      <c r="J323" s="3"/>
      <c r="K323" s="3"/>
      <c r="L323" s="3"/>
      <c r="M323" s="3"/>
      <c r="N323" s="3"/>
      <c r="O323" s="3"/>
      <c r="P323" s="3"/>
      <c r="Q323" s="3"/>
    </row>
    <row r="324" spans="1:17" ht="20.100000000000001" customHeight="1" x14ac:dyDescent="0.25">
      <c r="A324" s="9" t="str">
        <f>IF(F324="","",ROW()-19-COUNTBLANK($F$20:F324))</f>
        <v/>
      </c>
      <c r="B324" s="12" t="s">
        <v>700</v>
      </c>
      <c r="C324" s="12"/>
      <c r="D324" s="12"/>
      <c r="E324" s="12"/>
      <c r="F324" s="12"/>
      <c r="G324" s="12"/>
      <c r="H324" s="12"/>
      <c r="I324" s="12"/>
      <c r="J324" s="12"/>
      <c r="K324" s="12"/>
      <c r="L324" s="12"/>
      <c r="M324" s="12"/>
      <c r="N324" s="12"/>
      <c r="O324" s="12"/>
      <c r="P324" s="12"/>
      <c r="Q324" s="12"/>
    </row>
    <row r="325" spans="1:17" ht="60" customHeight="1" x14ac:dyDescent="0.25">
      <c r="A325" s="9">
        <f>IF(F325="","",ROW()-19-COUNTBLANK($F$20:F325))</f>
        <v>278</v>
      </c>
      <c r="B325" s="4" t="s">
        <v>216</v>
      </c>
      <c r="C325" s="4" t="s">
        <v>701</v>
      </c>
      <c r="D325" s="4"/>
      <c r="E325" s="7" t="s">
        <v>702</v>
      </c>
      <c r="F325" s="7" t="s">
        <v>589</v>
      </c>
      <c r="G325" s="3" t="s">
        <v>55</v>
      </c>
      <c r="H325" s="3"/>
      <c r="I325" s="3"/>
      <c r="J325" s="3"/>
      <c r="K325" s="3"/>
      <c r="L325" s="3"/>
      <c r="M325" s="3"/>
      <c r="N325" s="3"/>
      <c r="O325" s="3"/>
      <c r="P325" s="3"/>
      <c r="Q325" s="3"/>
    </row>
    <row r="326" spans="1:17" ht="60" customHeight="1" x14ac:dyDescent="0.25">
      <c r="A326" s="9">
        <f>IF(F326="","",ROW()-19-COUNTBLANK($F$20:F326))</f>
        <v>279</v>
      </c>
      <c r="B326" s="4" t="s">
        <v>132</v>
      </c>
      <c r="C326" s="4" t="s">
        <v>462</v>
      </c>
      <c r="D326" s="4"/>
      <c r="E326" s="7" t="s">
        <v>702</v>
      </c>
      <c r="F326" s="7" t="s">
        <v>590</v>
      </c>
      <c r="G326" s="3" t="s">
        <v>55</v>
      </c>
      <c r="H326" s="3"/>
      <c r="I326" s="3"/>
      <c r="J326" s="3"/>
      <c r="K326" s="3"/>
      <c r="L326" s="3"/>
      <c r="M326" s="3"/>
      <c r="N326" s="3"/>
      <c r="O326" s="3"/>
      <c r="P326" s="3"/>
      <c r="Q326" s="3"/>
    </row>
    <row r="327" spans="1:17" ht="60" customHeight="1" x14ac:dyDescent="0.25">
      <c r="A327" s="9">
        <f>IF(F327="","",ROW()-19-COUNTBLANK($F$20:F327))</f>
        <v>280</v>
      </c>
      <c r="B327" s="4" t="s">
        <v>465</v>
      </c>
      <c r="C327" s="4" t="s">
        <v>591</v>
      </c>
      <c r="D327" s="4"/>
      <c r="E327" s="7" t="s">
        <v>703</v>
      </c>
      <c r="F327" s="7" t="s">
        <v>704</v>
      </c>
      <c r="G327" s="3" t="s">
        <v>73</v>
      </c>
      <c r="H327" s="3"/>
      <c r="I327" s="3"/>
      <c r="J327" s="3"/>
      <c r="K327" s="3"/>
      <c r="L327" s="3"/>
      <c r="M327" s="3"/>
      <c r="N327" s="3"/>
      <c r="O327" s="3"/>
      <c r="P327" s="3"/>
      <c r="Q327" s="3"/>
    </row>
    <row r="328" spans="1:17" ht="60" customHeight="1" x14ac:dyDescent="0.25">
      <c r="A328" s="9">
        <f>IF(F328="","",ROW()-19-COUNTBLANK($F$20:F328))</f>
        <v>281</v>
      </c>
      <c r="B328" s="4" t="s">
        <v>594</v>
      </c>
      <c r="C328" s="4" t="s">
        <v>595</v>
      </c>
      <c r="D328" s="4"/>
      <c r="E328" s="7" t="s">
        <v>705</v>
      </c>
      <c r="F328" s="7" t="s">
        <v>706</v>
      </c>
      <c r="G328" s="3" t="s">
        <v>55</v>
      </c>
      <c r="H328" s="3"/>
      <c r="I328" s="3"/>
      <c r="J328" s="3"/>
      <c r="K328" s="3"/>
      <c r="L328" s="3"/>
      <c r="M328" s="3"/>
      <c r="N328" s="3"/>
      <c r="O328" s="3"/>
      <c r="P328" s="3"/>
      <c r="Q328" s="3"/>
    </row>
    <row r="329" spans="1:17" ht="60" customHeight="1" x14ac:dyDescent="0.25">
      <c r="A329" s="9">
        <f>IF(F329="","",ROW()-19-COUNTBLANK($F$20:F329))</f>
        <v>282</v>
      </c>
      <c r="B329" s="4" t="s">
        <v>598</v>
      </c>
      <c r="C329" s="4" t="s">
        <v>599</v>
      </c>
      <c r="D329" s="4"/>
      <c r="E329" s="7" t="s">
        <v>707</v>
      </c>
      <c r="F329" s="7" t="s">
        <v>708</v>
      </c>
      <c r="G329" s="3" t="s">
        <v>73</v>
      </c>
      <c r="H329" s="3"/>
      <c r="I329" s="3"/>
      <c r="J329" s="3"/>
      <c r="K329" s="3"/>
      <c r="L329" s="3"/>
      <c r="M329" s="3"/>
      <c r="N329" s="3"/>
      <c r="O329" s="3"/>
      <c r="P329" s="3"/>
      <c r="Q329" s="3"/>
    </row>
    <row r="330" spans="1:17" ht="60" customHeight="1" x14ac:dyDescent="0.25">
      <c r="A330" s="9">
        <f>IF(F330="","",ROW()-19-COUNTBLANK($F$20:F330))</f>
        <v>283</v>
      </c>
      <c r="B330" s="4" t="s">
        <v>602</v>
      </c>
      <c r="C330" s="4" t="s">
        <v>603</v>
      </c>
      <c r="D330" s="4"/>
      <c r="E330" s="7" t="s">
        <v>707</v>
      </c>
      <c r="F330" s="7" t="s">
        <v>604</v>
      </c>
      <c r="G330" s="3" t="s">
        <v>73</v>
      </c>
      <c r="H330" s="3"/>
      <c r="I330" s="3"/>
      <c r="J330" s="3"/>
      <c r="K330" s="3"/>
      <c r="L330" s="3"/>
      <c r="M330" s="3"/>
      <c r="N330" s="3"/>
      <c r="O330" s="3"/>
      <c r="P330" s="3"/>
      <c r="Q330" s="3"/>
    </row>
    <row r="331" spans="1:17" ht="60" customHeight="1" x14ac:dyDescent="0.25">
      <c r="A331" s="9">
        <f>IF(F331="","",ROW()-19-COUNTBLANK($F$20:F331))</f>
        <v>284</v>
      </c>
      <c r="B331" s="4" t="s">
        <v>605</v>
      </c>
      <c r="C331" s="4" t="s">
        <v>606</v>
      </c>
      <c r="D331" s="4"/>
      <c r="E331" s="7" t="s">
        <v>709</v>
      </c>
      <c r="F331" s="7" t="s">
        <v>608</v>
      </c>
      <c r="G331" s="3" t="s">
        <v>73</v>
      </c>
      <c r="H331" s="3"/>
      <c r="I331" s="3"/>
      <c r="J331" s="3"/>
      <c r="K331" s="3"/>
      <c r="L331" s="3"/>
      <c r="M331" s="3"/>
      <c r="N331" s="3"/>
      <c r="O331" s="3"/>
      <c r="P331" s="3"/>
      <c r="Q331" s="3"/>
    </row>
    <row r="332" spans="1:17" ht="60" customHeight="1" x14ac:dyDescent="0.25">
      <c r="A332" s="9">
        <f>IF(F332="","",ROW()-19-COUNTBLANK($F$20:F332))</f>
        <v>285</v>
      </c>
      <c r="B332" s="4" t="s">
        <v>609</v>
      </c>
      <c r="C332" s="4" t="s">
        <v>610</v>
      </c>
      <c r="D332" s="4"/>
      <c r="E332" s="7" t="s">
        <v>710</v>
      </c>
      <c r="F332" s="7" t="s">
        <v>612</v>
      </c>
      <c r="G332" s="3" t="s">
        <v>55</v>
      </c>
      <c r="H332" s="3"/>
      <c r="I332" s="3"/>
      <c r="J332" s="3"/>
      <c r="K332" s="3"/>
      <c r="L332" s="3"/>
      <c r="M332" s="3"/>
      <c r="N332" s="3"/>
      <c r="O332" s="3"/>
      <c r="P332" s="3"/>
      <c r="Q332" s="3"/>
    </row>
    <row r="333" spans="1:17" ht="60" customHeight="1" x14ac:dyDescent="0.25">
      <c r="A333" s="9">
        <f>IF(F333="","",ROW()-19-COUNTBLANK($F$20:F333))</f>
        <v>286</v>
      </c>
      <c r="B333" s="17" t="s">
        <v>492</v>
      </c>
      <c r="C333" s="4" t="s">
        <v>493</v>
      </c>
      <c r="D333" s="4" t="s">
        <v>613</v>
      </c>
      <c r="E333" s="7" t="s">
        <v>711</v>
      </c>
      <c r="F333" s="7" t="s">
        <v>615</v>
      </c>
      <c r="G333" s="3" t="s">
        <v>50</v>
      </c>
      <c r="H333" s="3"/>
      <c r="I333" s="3"/>
      <c r="J333" s="3"/>
      <c r="K333" s="3"/>
      <c r="L333" s="3"/>
      <c r="M333" s="3"/>
      <c r="N333" s="3"/>
      <c r="O333" s="3"/>
      <c r="P333" s="3"/>
      <c r="Q333" s="3"/>
    </row>
    <row r="334" spans="1:17" ht="60" customHeight="1" x14ac:dyDescent="0.25">
      <c r="A334" s="9">
        <f>IF(F334="","",ROW()-19-COUNTBLANK($F$20:F334))</f>
        <v>287</v>
      </c>
      <c r="B334" s="18"/>
      <c r="C334" s="4" t="s">
        <v>497</v>
      </c>
      <c r="D334" s="4" t="s">
        <v>616</v>
      </c>
      <c r="E334" s="7" t="s">
        <v>712</v>
      </c>
      <c r="F334" s="7" t="s">
        <v>618</v>
      </c>
      <c r="G334" s="3" t="s">
        <v>50</v>
      </c>
      <c r="H334" s="3"/>
      <c r="I334" s="3"/>
      <c r="J334" s="3"/>
      <c r="K334" s="3"/>
      <c r="L334" s="3"/>
      <c r="M334" s="3"/>
      <c r="N334" s="3"/>
      <c r="O334" s="3"/>
      <c r="P334" s="3"/>
      <c r="Q334" s="3"/>
    </row>
    <row r="335" spans="1:17" ht="60" customHeight="1" x14ac:dyDescent="0.25">
      <c r="A335" s="9">
        <f>IF(F335="","",ROW()-19-COUNTBLANK($F$20:F335))</f>
        <v>288</v>
      </c>
      <c r="B335" s="18"/>
      <c r="C335" s="4" t="s">
        <v>619</v>
      </c>
      <c r="D335" s="4" t="s">
        <v>620</v>
      </c>
      <c r="E335" s="7" t="s">
        <v>713</v>
      </c>
      <c r="F335" s="7" t="s">
        <v>622</v>
      </c>
      <c r="G335" s="3" t="s">
        <v>55</v>
      </c>
      <c r="H335" s="3"/>
      <c r="I335" s="3"/>
      <c r="J335" s="3"/>
      <c r="K335" s="3"/>
      <c r="L335" s="3"/>
      <c r="M335" s="3"/>
      <c r="N335" s="3"/>
      <c r="O335" s="3"/>
      <c r="P335" s="3"/>
      <c r="Q335" s="3"/>
    </row>
    <row r="336" spans="1:17" ht="60" customHeight="1" x14ac:dyDescent="0.25">
      <c r="A336" s="9">
        <f>IF(F336="","",ROW()-19-COUNTBLANK($F$20:F336))</f>
        <v>289</v>
      </c>
      <c r="B336" s="19"/>
      <c r="C336" s="4" t="s">
        <v>623</v>
      </c>
      <c r="D336" s="4" t="s">
        <v>624</v>
      </c>
      <c r="E336" s="7" t="s">
        <v>714</v>
      </c>
      <c r="F336" s="7" t="s">
        <v>626</v>
      </c>
      <c r="G336" s="3" t="s">
        <v>55</v>
      </c>
      <c r="H336" s="3"/>
      <c r="I336" s="3"/>
      <c r="J336" s="3"/>
      <c r="K336" s="3"/>
      <c r="L336" s="3"/>
      <c r="M336" s="3"/>
      <c r="N336" s="3"/>
      <c r="O336" s="3"/>
      <c r="P336" s="3"/>
      <c r="Q336" s="3"/>
    </row>
    <row r="337" spans="1:17" ht="60" customHeight="1" x14ac:dyDescent="0.25">
      <c r="A337" s="9">
        <f>IF(F337="","",ROW()-19-COUNTBLANK($F$20:F337))</f>
        <v>290</v>
      </c>
      <c r="B337" s="17" t="s">
        <v>481</v>
      </c>
      <c r="C337" s="4" t="s">
        <v>482</v>
      </c>
      <c r="D337" s="4" t="s">
        <v>715</v>
      </c>
      <c r="E337" s="7" t="s">
        <v>707</v>
      </c>
      <c r="F337" s="7" t="s">
        <v>485</v>
      </c>
      <c r="G337" s="3" t="s">
        <v>73</v>
      </c>
      <c r="H337" s="3"/>
      <c r="I337" s="3"/>
      <c r="J337" s="3"/>
      <c r="K337" s="3"/>
      <c r="L337" s="3"/>
      <c r="M337" s="3"/>
      <c r="N337" s="3"/>
      <c r="O337" s="3"/>
      <c r="P337" s="3"/>
      <c r="Q337" s="3"/>
    </row>
    <row r="338" spans="1:17" ht="60" customHeight="1" x14ac:dyDescent="0.25">
      <c r="A338" s="9">
        <f>IF(F338="","",ROW()-19-COUNTBLANK($F$20:F338))</f>
        <v>291</v>
      </c>
      <c r="B338" s="18"/>
      <c r="C338" s="4" t="s">
        <v>486</v>
      </c>
      <c r="D338" s="4" t="s">
        <v>716</v>
      </c>
      <c r="E338" s="7" t="s">
        <v>707</v>
      </c>
      <c r="F338" s="7" t="s">
        <v>485</v>
      </c>
      <c r="G338" s="3" t="s">
        <v>73</v>
      </c>
      <c r="H338" s="3"/>
      <c r="I338" s="3"/>
      <c r="J338" s="3"/>
      <c r="K338" s="3"/>
      <c r="L338" s="3"/>
      <c r="M338" s="3"/>
      <c r="N338" s="3"/>
      <c r="O338" s="3"/>
      <c r="P338" s="3"/>
      <c r="Q338" s="3"/>
    </row>
    <row r="339" spans="1:17" ht="60" customHeight="1" x14ac:dyDescent="0.25">
      <c r="A339" s="9">
        <f>IF(F339="","",ROW()-19-COUNTBLANK($F$20:F339))</f>
        <v>292</v>
      </c>
      <c r="B339" s="19"/>
      <c r="C339" s="4" t="s">
        <v>488</v>
      </c>
      <c r="D339" s="4" t="s">
        <v>717</v>
      </c>
      <c r="E339" s="7" t="s">
        <v>718</v>
      </c>
      <c r="F339" s="7" t="s">
        <v>491</v>
      </c>
      <c r="G339" s="3" t="s">
        <v>73</v>
      </c>
      <c r="H339" s="3"/>
      <c r="I339" s="3"/>
      <c r="J339" s="3"/>
      <c r="K339" s="3"/>
      <c r="L339" s="3"/>
      <c r="M339" s="3"/>
      <c r="N339" s="3"/>
      <c r="O339" s="3"/>
      <c r="P339" s="3"/>
      <c r="Q339" s="3"/>
    </row>
    <row r="340" spans="1:17" ht="60" customHeight="1" x14ac:dyDescent="0.25">
      <c r="A340" s="9">
        <f>IF(F340="","",ROW()-19-COUNTBLANK($F$20:F340))</f>
        <v>293</v>
      </c>
      <c r="B340" s="4" t="s">
        <v>473</v>
      </c>
      <c r="C340" s="4" t="s">
        <v>628</v>
      </c>
      <c r="D340" s="4"/>
      <c r="E340" s="7" t="s">
        <v>719</v>
      </c>
      <c r="F340" s="7" t="s">
        <v>720</v>
      </c>
      <c r="G340" s="3" t="s">
        <v>50</v>
      </c>
      <c r="H340" s="3"/>
      <c r="I340" s="3"/>
      <c r="J340" s="3"/>
      <c r="K340" s="3"/>
      <c r="L340" s="3"/>
      <c r="M340" s="3"/>
      <c r="N340" s="3"/>
      <c r="O340" s="3"/>
      <c r="P340" s="3"/>
      <c r="Q340" s="3"/>
    </row>
    <row r="341" spans="1:17" ht="60" customHeight="1" x14ac:dyDescent="0.25">
      <c r="A341" s="9">
        <f>IF(F341="","",ROW()-19-COUNTBLANK($F$20:F341))</f>
        <v>294</v>
      </c>
      <c r="B341" s="17" t="s">
        <v>473</v>
      </c>
      <c r="C341" s="17" t="s">
        <v>505</v>
      </c>
      <c r="D341" s="4" t="s">
        <v>506</v>
      </c>
      <c r="E341" s="7" t="s">
        <v>507</v>
      </c>
      <c r="F341" s="7" t="s">
        <v>508</v>
      </c>
      <c r="G341" s="3" t="s">
        <v>55</v>
      </c>
      <c r="H341" s="3"/>
      <c r="I341" s="3"/>
      <c r="J341" s="3"/>
      <c r="K341" s="3"/>
      <c r="L341" s="3"/>
      <c r="M341" s="3"/>
      <c r="N341" s="3"/>
      <c r="O341" s="3"/>
      <c r="P341" s="3"/>
      <c r="Q341" s="3"/>
    </row>
    <row r="342" spans="1:17" ht="60" customHeight="1" x14ac:dyDescent="0.25">
      <c r="A342" s="9">
        <f>IF(F342="","",ROW()-19-COUNTBLANK($F$20:F342))</f>
        <v>295</v>
      </c>
      <c r="B342" s="18"/>
      <c r="C342" s="19"/>
      <c r="D342" s="4" t="s">
        <v>509</v>
      </c>
      <c r="E342" s="7" t="s">
        <v>510</v>
      </c>
      <c r="F342" s="7" t="s">
        <v>511</v>
      </c>
      <c r="G342" s="3" t="s">
        <v>55</v>
      </c>
      <c r="H342" s="3"/>
      <c r="I342" s="3"/>
      <c r="J342" s="3"/>
      <c r="K342" s="3"/>
      <c r="L342" s="3"/>
      <c r="M342" s="3"/>
      <c r="N342" s="3"/>
      <c r="O342" s="3"/>
      <c r="P342" s="3"/>
      <c r="Q342" s="3"/>
    </row>
    <row r="343" spans="1:17" ht="60" customHeight="1" x14ac:dyDescent="0.25">
      <c r="A343" s="9">
        <f>IF(F343="","",ROW()-19-COUNTBLANK($F$20:F343))</f>
        <v>296</v>
      </c>
      <c r="B343" s="18"/>
      <c r="C343" s="4" t="s">
        <v>512</v>
      </c>
      <c r="D343" s="4" t="s">
        <v>513</v>
      </c>
      <c r="E343" s="7" t="s">
        <v>514</v>
      </c>
      <c r="F343" s="7" t="s">
        <v>515</v>
      </c>
      <c r="G343" s="3" t="s">
        <v>55</v>
      </c>
      <c r="H343" s="3"/>
      <c r="I343" s="3"/>
      <c r="J343" s="3"/>
      <c r="K343" s="3"/>
      <c r="L343" s="3"/>
      <c r="M343" s="3"/>
      <c r="N343" s="3"/>
      <c r="O343" s="3"/>
      <c r="P343" s="3"/>
      <c r="Q343" s="3"/>
    </row>
    <row r="344" spans="1:17" ht="60" customHeight="1" x14ac:dyDescent="0.25">
      <c r="A344" s="9">
        <f>IF(F344="","",ROW()-19-COUNTBLANK($F$20:F344))</f>
        <v>297</v>
      </c>
      <c r="B344" s="19"/>
      <c r="C344" s="4" t="s">
        <v>516</v>
      </c>
      <c r="D344" s="4" t="s">
        <v>517</v>
      </c>
      <c r="E344" s="7" t="s">
        <v>518</v>
      </c>
      <c r="F344" s="7" t="s">
        <v>519</v>
      </c>
      <c r="G344" s="3" t="s">
        <v>55</v>
      </c>
      <c r="H344" s="3"/>
      <c r="I344" s="3"/>
      <c r="J344" s="3"/>
      <c r="K344" s="3"/>
      <c r="L344" s="3"/>
      <c r="M344" s="3"/>
      <c r="N344" s="3"/>
      <c r="O344" s="3"/>
      <c r="P344" s="3"/>
      <c r="Q344" s="3"/>
    </row>
    <row r="345" spans="1:17" ht="20.100000000000001" customHeight="1" x14ac:dyDescent="0.25">
      <c r="A345" s="9" t="str">
        <f>IF(F345="","",ROW()-19-COUNTBLANK($F$20:F345))</f>
        <v/>
      </c>
      <c r="B345" s="12" t="s">
        <v>721</v>
      </c>
      <c r="C345" s="12"/>
      <c r="D345" s="12"/>
      <c r="E345" s="12"/>
      <c r="F345" s="12"/>
      <c r="G345" s="12"/>
      <c r="H345" s="12"/>
      <c r="I345" s="12"/>
      <c r="J345" s="12"/>
      <c r="K345" s="12"/>
      <c r="L345" s="12"/>
      <c r="M345" s="12"/>
      <c r="N345" s="12"/>
      <c r="O345" s="12"/>
      <c r="P345" s="12"/>
      <c r="Q345" s="12"/>
    </row>
    <row r="346" spans="1:17" ht="60" customHeight="1" x14ac:dyDescent="0.25">
      <c r="A346" s="9">
        <f>IF(F346="","",ROW()-19-COUNTBLANK($F$20:F346))</f>
        <v>298</v>
      </c>
      <c r="B346" s="4" t="s">
        <v>216</v>
      </c>
      <c r="C346" s="4" t="s">
        <v>722</v>
      </c>
      <c r="D346" s="4"/>
      <c r="E346" s="7" t="s">
        <v>723</v>
      </c>
      <c r="F346" s="7" t="s">
        <v>589</v>
      </c>
      <c r="G346" s="3" t="s">
        <v>55</v>
      </c>
      <c r="H346" s="3"/>
      <c r="I346" s="3"/>
      <c r="J346" s="3"/>
      <c r="K346" s="3"/>
      <c r="L346" s="3"/>
      <c r="M346" s="3"/>
      <c r="N346" s="3"/>
      <c r="O346" s="3"/>
      <c r="P346" s="3"/>
      <c r="Q346" s="3"/>
    </row>
    <row r="347" spans="1:17" ht="60" customHeight="1" x14ac:dyDescent="0.25">
      <c r="A347" s="9">
        <f>IF(F347="","",ROW()-19-COUNTBLANK($F$20:F347))</f>
        <v>299</v>
      </c>
      <c r="B347" s="4" t="s">
        <v>132</v>
      </c>
      <c r="C347" s="4" t="s">
        <v>462</v>
      </c>
      <c r="D347" s="4"/>
      <c r="E347" s="7" t="s">
        <v>723</v>
      </c>
      <c r="F347" s="7" t="s">
        <v>590</v>
      </c>
      <c r="G347" s="3" t="s">
        <v>55</v>
      </c>
      <c r="H347" s="3"/>
      <c r="I347" s="3"/>
      <c r="J347" s="3"/>
      <c r="K347" s="3"/>
      <c r="L347" s="3"/>
      <c r="M347" s="3"/>
      <c r="N347" s="3"/>
      <c r="O347" s="3"/>
      <c r="P347" s="3"/>
      <c r="Q347" s="3"/>
    </row>
    <row r="348" spans="1:17" ht="60" customHeight="1" x14ac:dyDescent="0.25">
      <c r="A348" s="9">
        <f>IF(F348="","",ROW()-19-COUNTBLANK($F$20:F348))</f>
        <v>300</v>
      </c>
      <c r="B348" s="4" t="s">
        <v>465</v>
      </c>
      <c r="C348" s="4" t="s">
        <v>591</v>
      </c>
      <c r="D348" s="4"/>
      <c r="E348" s="7" t="s">
        <v>724</v>
      </c>
      <c r="F348" s="7" t="s">
        <v>725</v>
      </c>
      <c r="G348" s="3" t="s">
        <v>73</v>
      </c>
      <c r="H348" s="3"/>
      <c r="I348" s="3"/>
      <c r="J348" s="3"/>
      <c r="K348" s="3"/>
      <c r="L348" s="3"/>
      <c r="M348" s="3"/>
      <c r="N348" s="3"/>
      <c r="O348" s="3"/>
      <c r="P348" s="3"/>
      <c r="Q348" s="3"/>
    </row>
    <row r="349" spans="1:17" ht="60" customHeight="1" x14ac:dyDescent="0.25">
      <c r="A349" s="9">
        <f>IF(F349="","",ROW()-19-COUNTBLANK($F$20:F349))</f>
        <v>301</v>
      </c>
      <c r="B349" s="4" t="s">
        <v>594</v>
      </c>
      <c r="C349" s="4" t="s">
        <v>595</v>
      </c>
      <c r="D349" s="4"/>
      <c r="E349" s="7" t="s">
        <v>726</v>
      </c>
      <c r="F349" s="7" t="s">
        <v>727</v>
      </c>
      <c r="G349" s="3" t="s">
        <v>55</v>
      </c>
      <c r="H349" s="3"/>
      <c r="I349" s="3"/>
      <c r="J349" s="3"/>
      <c r="K349" s="3"/>
      <c r="L349" s="3"/>
      <c r="M349" s="3"/>
      <c r="N349" s="3"/>
      <c r="O349" s="3"/>
      <c r="P349" s="3"/>
      <c r="Q349" s="3"/>
    </row>
    <row r="350" spans="1:17" ht="60" customHeight="1" x14ac:dyDescent="0.25">
      <c r="A350" s="9">
        <f>IF(F350="","",ROW()-19-COUNTBLANK($F$20:F350))</f>
        <v>302</v>
      </c>
      <c r="B350" s="4" t="s">
        <v>598</v>
      </c>
      <c r="C350" s="4" t="s">
        <v>599</v>
      </c>
      <c r="D350" s="4"/>
      <c r="E350" s="7" t="s">
        <v>728</v>
      </c>
      <c r="F350" s="7" t="s">
        <v>708</v>
      </c>
      <c r="G350" s="3" t="s">
        <v>73</v>
      </c>
      <c r="H350" s="3"/>
      <c r="I350" s="3"/>
      <c r="J350" s="3"/>
      <c r="K350" s="3"/>
      <c r="L350" s="3"/>
      <c r="M350" s="3"/>
      <c r="N350" s="3"/>
      <c r="O350" s="3"/>
      <c r="P350" s="3"/>
      <c r="Q350" s="3"/>
    </row>
    <row r="351" spans="1:17" ht="60" customHeight="1" x14ac:dyDescent="0.25">
      <c r="A351" s="9">
        <f>IF(F351="","",ROW()-19-COUNTBLANK($F$20:F351))</f>
        <v>303</v>
      </c>
      <c r="B351" s="4" t="s">
        <v>602</v>
      </c>
      <c r="C351" s="4" t="s">
        <v>603</v>
      </c>
      <c r="D351" s="4"/>
      <c r="E351" s="7" t="s">
        <v>728</v>
      </c>
      <c r="F351" s="7" t="s">
        <v>604</v>
      </c>
      <c r="G351" s="3" t="s">
        <v>73</v>
      </c>
      <c r="H351" s="3"/>
      <c r="I351" s="3"/>
      <c r="J351" s="3"/>
      <c r="K351" s="3"/>
      <c r="L351" s="3"/>
      <c r="M351" s="3"/>
      <c r="N351" s="3"/>
      <c r="O351" s="3"/>
      <c r="P351" s="3"/>
      <c r="Q351" s="3"/>
    </row>
    <row r="352" spans="1:17" ht="60" customHeight="1" x14ac:dyDescent="0.25">
      <c r="A352" s="9">
        <f>IF(F352="","",ROW()-19-COUNTBLANK($F$20:F352))</f>
        <v>304</v>
      </c>
      <c r="B352" s="4" t="s">
        <v>605</v>
      </c>
      <c r="C352" s="4" t="s">
        <v>606</v>
      </c>
      <c r="D352" s="4"/>
      <c r="E352" s="7" t="s">
        <v>729</v>
      </c>
      <c r="F352" s="7" t="s">
        <v>608</v>
      </c>
      <c r="G352" s="3" t="s">
        <v>73</v>
      </c>
      <c r="H352" s="3"/>
      <c r="I352" s="3"/>
      <c r="J352" s="3"/>
      <c r="K352" s="3"/>
      <c r="L352" s="3"/>
      <c r="M352" s="3"/>
      <c r="N352" s="3"/>
      <c r="O352" s="3"/>
      <c r="P352" s="3"/>
      <c r="Q352" s="3"/>
    </row>
    <row r="353" spans="1:17" ht="60" customHeight="1" x14ac:dyDescent="0.25">
      <c r="A353" s="9">
        <f>IF(F353="","",ROW()-19-COUNTBLANK($F$20:F353))</f>
        <v>305</v>
      </c>
      <c r="B353" s="4" t="s">
        <v>609</v>
      </c>
      <c r="C353" s="4" t="s">
        <v>610</v>
      </c>
      <c r="D353" s="4"/>
      <c r="E353" s="7" t="s">
        <v>710</v>
      </c>
      <c r="F353" s="7" t="s">
        <v>612</v>
      </c>
      <c r="G353" s="3" t="s">
        <v>55</v>
      </c>
      <c r="H353" s="3"/>
      <c r="I353" s="3"/>
      <c r="J353" s="3"/>
      <c r="K353" s="3"/>
      <c r="L353" s="3"/>
      <c r="M353" s="3"/>
      <c r="N353" s="3"/>
      <c r="O353" s="3"/>
      <c r="P353" s="3"/>
      <c r="Q353" s="3"/>
    </row>
    <row r="354" spans="1:17" ht="60" customHeight="1" x14ac:dyDescent="0.25">
      <c r="A354" s="9">
        <f>IF(F354="","",ROW()-19-COUNTBLANK($F$20:F354))</f>
        <v>306</v>
      </c>
      <c r="B354" s="17" t="s">
        <v>492</v>
      </c>
      <c r="C354" s="4" t="s">
        <v>493</v>
      </c>
      <c r="D354" s="4" t="s">
        <v>613</v>
      </c>
      <c r="E354" s="7" t="s">
        <v>730</v>
      </c>
      <c r="F354" s="7" t="s">
        <v>615</v>
      </c>
      <c r="G354" s="3" t="s">
        <v>50</v>
      </c>
      <c r="H354" s="3"/>
      <c r="I354" s="3"/>
      <c r="J354" s="3"/>
      <c r="K354" s="3"/>
      <c r="L354" s="3"/>
      <c r="M354" s="3"/>
      <c r="N354" s="3"/>
      <c r="O354" s="3"/>
      <c r="P354" s="3"/>
      <c r="Q354" s="3"/>
    </row>
    <row r="355" spans="1:17" ht="60" customHeight="1" x14ac:dyDescent="0.25">
      <c r="A355" s="9">
        <f>IF(F355="","",ROW()-19-COUNTBLANK($F$20:F355))</f>
        <v>307</v>
      </c>
      <c r="B355" s="18"/>
      <c r="C355" s="4" t="s">
        <v>497</v>
      </c>
      <c r="D355" s="4" t="s">
        <v>616</v>
      </c>
      <c r="E355" s="7" t="s">
        <v>731</v>
      </c>
      <c r="F355" s="7" t="s">
        <v>618</v>
      </c>
      <c r="G355" s="3" t="s">
        <v>50</v>
      </c>
      <c r="H355" s="3"/>
      <c r="I355" s="3"/>
      <c r="J355" s="3"/>
      <c r="K355" s="3"/>
      <c r="L355" s="3"/>
      <c r="M355" s="3"/>
      <c r="N355" s="3"/>
      <c r="O355" s="3"/>
      <c r="P355" s="3"/>
      <c r="Q355" s="3"/>
    </row>
    <row r="356" spans="1:17" ht="60" customHeight="1" x14ac:dyDescent="0.25">
      <c r="A356" s="9">
        <f>IF(F356="","",ROW()-19-COUNTBLANK($F$20:F356))</f>
        <v>308</v>
      </c>
      <c r="B356" s="18"/>
      <c r="C356" s="4" t="s">
        <v>619</v>
      </c>
      <c r="D356" s="4" t="s">
        <v>620</v>
      </c>
      <c r="E356" s="7" t="s">
        <v>713</v>
      </c>
      <c r="F356" s="7" t="s">
        <v>622</v>
      </c>
      <c r="G356" s="3" t="s">
        <v>55</v>
      </c>
      <c r="H356" s="3"/>
      <c r="I356" s="3"/>
      <c r="J356" s="3"/>
      <c r="K356" s="3"/>
      <c r="L356" s="3"/>
      <c r="M356" s="3"/>
      <c r="N356" s="3"/>
      <c r="O356" s="3"/>
      <c r="P356" s="3"/>
      <c r="Q356" s="3"/>
    </row>
    <row r="357" spans="1:17" ht="60" customHeight="1" x14ac:dyDescent="0.25">
      <c r="A357" s="9">
        <f>IF(F357="","",ROW()-19-COUNTBLANK($F$20:F357))</f>
        <v>309</v>
      </c>
      <c r="B357" s="19"/>
      <c r="C357" s="4" t="s">
        <v>623</v>
      </c>
      <c r="D357" s="4" t="s">
        <v>624</v>
      </c>
      <c r="E357" s="7" t="s">
        <v>714</v>
      </c>
      <c r="F357" s="7" t="s">
        <v>626</v>
      </c>
      <c r="G357" s="3" t="s">
        <v>55</v>
      </c>
      <c r="H357" s="3"/>
      <c r="I357" s="3"/>
      <c r="J357" s="3"/>
      <c r="K357" s="3"/>
      <c r="L357" s="3"/>
      <c r="M357" s="3"/>
      <c r="N357" s="3"/>
      <c r="O357" s="3"/>
      <c r="P357" s="3"/>
      <c r="Q357" s="3"/>
    </row>
    <row r="358" spans="1:17" ht="60" customHeight="1" x14ac:dyDescent="0.25">
      <c r="A358" s="9">
        <f>IF(F358="","",ROW()-19-COUNTBLANK($F$20:F358))</f>
        <v>310</v>
      </c>
      <c r="B358" s="17" t="s">
        <v>481</v>
      </c>
      <c r="C358" s="4" t="s">
        <v>482</v>
      </c>
      <c r="D358" s="4" t="s">
        <v>715</v>
      </c>
      <c r="E358" s="7" t="s">
        <v>728</v>
      </c>
      <c r="F358" s="7" t="s">
        <v>485</v>
      </c>
      <c r="G358" s="3" t="s">
        <v>73</v>
      </c>
      <c r="H358" s="3"/>
      <c r="I358" s="3"/>
      <c r="J358" s="3"/>
      <c r="K358" s="3"/>
      <c r="L358" s="3"/>
      <c r="M358" s="3"/>
      <c r="N358" s="3"/>
      <c r="O358" s="3"/>
      <c r="P358" s="3"/>
      <c r="Q358" s="3"/>
    </row>
    <row r="359" spans="1:17" ht="60" customHeight="1" x14ac:dyDescent="0.25">
      <c r="A359" s="9">
        <f>IF(F359="","",ROW()-19-COUNTBLANK($F$20:F359))</f>
        <v>311</v>
      </c>
      <c r="B359" s="18"/>
      <c r="C359" s="4" t="s">
        <v>486</v>
      </c>
      <c r="D359" s="4" t="s">
        <v>716</v>
      </c>
      <c r="E359" s="7" t="s">
        <v>728</v>
      </c>
      <c r="F359" s="7" t="s">
        <v>485</v>
      </c>
      <c r="G359" s="3" t="s">
        <v>73</v>
      </c>
      <c r="H359" s="3"/>
      <c r="I359" s="3"/>
      <c r="J359" s="3"/>
      <c r="K359" s="3"/>
      <c r="L359" s="3"/>
      <c r="M359" s="3"/>
      <c r="N359" s="3"/>
      <c r="O359" s="3"/>
      <c r="P359" s="3"/>
      <c r="Q359" s="3"/>
    </row>
    <row r="360" spans="1:17" ht="60" customHeight="1" x14ac:dyDescent="0.25">
      <c r="A360" s="9">
        <f>IF(F360="","",ROW()-19-COUNTBLANK($F$20:F360))</f>
        <v>312</v>
      </c>
      <c r="B360" s="19"/>
      <c r="C360" s="4" t="s">
        <v>488</v>
      </c>
      <c r="D360" s="4" t="s">
        <v>717</v>
      </c>
      <c r="E360" s="7" t="s">
        <v>732</v>
      </c>
      <c r="F360" s="7" t="s">
        <v>491</v>
      </c>
      <c r="G360" s="3" t="s">
        <v>73</v>
      </c>
      <c r="H360" s="3"/>
      <c r="I360" s="3"/>
      <c r="J360" s="3"/>
      <c r="K360" s="3"/>
      <c r="L360" s="3"/>
      <c r="M360" s="3"/>
      <c r="N360" s="3"/>
      <c r="O360" s="3"/>
      <c r="P360" s="3"/>
      <c r="Q360" s="3"/>
    </row>
    <row r="361" spans="1:17" ht="60" customHeight="1" x14ac:dyDescent="0.25">
      <c r="A361" s="9">
        <f>IF(F361="","",ROW()-19-COUNTBLANK($F$20:F361))</f>
        <v>313</v>
      </c>
      <c r="B361" s="4" t="s">
        <v>473</v>
      </c>
      <c r="C361" s="4" t="s">
        <v>628</v>
      </c>
      <c r="D361" s="4"/>
      <c r="E361" s="7" t="s">
        <v>733</v>
      </c>
      <c r="F361" s="7" t="s">
        <v>734</v>
      </c>
      <c r="G361" s="3" t="s">
        <v>50</v>
      </c>
      <c r="H361" s="3"/>
      <c r="I361" s="3"/>
      <c r="J361" s="3"/>
      <c r="K361" s="3"/>
      <c r="L361" s="3"/>
      <c r="M361" s="3"/>
      <c r="N361" s="3"/>
      <c r="O361" s="3"/>
      <c r="P361" s="3"/>
      <c r="Q361" s="3"/>
    </row>
    <row r="362" spans="1:17" ht="60" customHeight="1" x14ac:dyDescent="0.25">
      <c r="A362" s="9">
        <f>IF(F362="","",ROW()-19-COUNTBLANK($F$20:F362))</f>
        <v>314</v>
      </c>
      <c r="B362" s="17" t="s">
        <v>473</v>
      </c>
      <c r="C362" s="17" t="s">
        <v>505</v>
      </c>
      <c r="D362" s="4" t="s">
        <v>506</v>
      </c>
      <c r="E362" s="7" t="s">
        <v>507</v>
      </c>
      <c r="F362" s="7" t="s">
        <v>508</v>
      </c>
      <c r="G362" s="3" t="s">
        <v>55</v>
      </c>
      <c r="H362" s="3"/>
      <c r="I362" s="3"/>
      <c r="J362" s="3"/>
      <c r="K362" s="3"/>
      <c r="L362" s="3"/>
      <c r="M362" s="3"/>
      <c r="N362" s="3"/>
      <c r="O362" s="3"/>
      <c r="P362" s="3"/>
      <c r="Q362" s="3"/>
    </row>
    <row r="363" spans="1:17" ht="60" customHeight="1" x14ac:dyDescent="0.25">
      <c r="A363" s="9">
        <f>IF(F363="","",ROW()-19-COUNTBLANK($F$20:F363))</f>
        <v>315</v>
      </c>
      <c r="B363" s="18"/>
      <c r="C363" s="19"/>
      <c r="D363" s="4" t="s">
        <v>509</v>
      </c>
      <c r="E363" s="7" t="s">
        <v>510</v>
      </c>
      <c r="F363" s="7" t="s">
        <v>511</v>
      </c>
      <c r="G363" s="3" t="s">
        <v>55</v>
      </c>
      <c r="H363" s="3"/>
      <c r="I363" s="3"/>
      <c r="J363" s="3"/>
      <c r="K363" s="3"/>
      <c r="L363" s="3"/>
      <c r="M363" s="3"/>
      <c r="N363" s="3"/>
      <c r="O363" s="3"/>
      <c r="P363" s="3"/>
      <c r="Q363" s="3"/>
    </row>
    <row r="364" spans="1:17" ht="60" customHeight="1" x14ac:dyDescent="0.25">
      <c r="A364" s="9">
        <f>IF(F364="","",ROW()-19-COUNTBLANK($F$20:F364))</f>
        <v>316</v>
      </c>
      <c r="B364" s="18"/>
      <c r="C364" s="4" t="s">
        <v>512</v>
      </c>
      <c r="D364" s="4" t="s">
        <v>513</v>
      </c>
      <c r="E364" s="7" t="s">
        <v>514</v>
      </c>
      <c r="F364" s="7" t="s">
        <v>515</v>
      </c>
      <c r="G364" s="3" t="s">
        <v>55</v>
      </c>
      <c r="H364" s="3"/>
      <c r="I364" s="3"/>
      <c r="J364" s="3"/>
      <c r="K364" s="3"/>
      <c r="L364" s="3"/>
      <c r="M364" s="3"/>
      <c r="N364" s="3"/>
      <c r="O364" s="3"/>
      <c r="P364" s="3"/>
      <c r="Q364" s="3"/>
    </row>
    <row r="365" spans="1:17" ht="60" customHeight="1" x14ac:dyDescent="0.25">
      <c r="A365" s="9">
        <f>IF(F365="","",ROW()-19-COUNTBLANK($F$20:F365))</f>
        <v>317</v>
      </c>
      <c r="B365" s="19"/>
      <c r="C365" s="4" t="s">
        <v>516</v>
      </c>
      <c r="D365" s="4" t="s">
        <v>517</v>
      </c>
      <c r="E365" s="7" t="s">
        <v>518</v>
      </c>
      <c r="F365" s="7" t="s">
        <v>519</v>
      </c>
      <c r="G365" s="3" t="s">
        <v>55</v>
      </c>
      <c r="H365" s="3"/>
      <c r="I365" s="3"/>
      <c r="J365" s="3"/>
      <c r="K365" s="3"/>
      <c r="L365" s="3"/>
      <c r="M365" s="3"/>
      <c r="N365" s="3"/>
      <c r="O365" s="3"/>
      <c r="P365" s="3"/>
      <c r="Q365" s="3"/>
    </row>
    <row r="366" spans="1:17" ht="20.100000000000001" customHeight="1" x14ac:dyDescent="0.25">
      <c r="A366" s="9" t="str">
        <f>IF(F366="","",ROW()-19-COUNTBLANK($F$20:F366))</f>
        <v/>
      </c>
      <c r="B366" s="12" t="s">
        <v>735</v>
      </c>
      <c r="C366" s="12"/>
      <c r="D366" s="12"/>
      <c r="E366" s="12"/>
      <c r="F366" s="12"/>
      <c r="G366" s="12"/>
      <c r="H366" s="12"/>
      <c r="I366" s="12"/>
      <c r="J366" s="12"/>
      <c r="K366" s="12"/>
      <c r="L366" s="12"/>
      <c r="M366" s="12"/>
      <c r="N366" s="12"/>
      <c r="O366" s="12"/>
      <c r="P366" s="12"/>
      <c r="Q366" s="12"/>
    </row>
    <row r="367" spans="1:17" ht="60" customHeight="1" x14ac:dyDescent="0.25">
      <c r="A367" s="9">
        <f>IF(F367="","",ROW()-19-COUNTBLANK($F$20:F367))</f>
        <v>318</v>
      </c>
      <c r="B367" s="4" t="s">
        <v>216</v>
      </c>
      <c r="C367" s="4" t="s">
        <v>736</v>
      </c>
      <c r="D367" s="4"/>
      <c r="E367" s="7" t="s">
        <v>737</v>
      </c>
      <c r="F367" s="7" t="s">
        <v>589</v>
      </c>
      <c r="G367" s="3" t="s">
        <v>55</v>
      </c>
      <c r="H367" s="3"/>
      <c r="I367" s="3"/>
      <c r="J367" s="3"/>
      <c r="K367" s="3"/>
      <c r="L367" s="3"/>
      <c r="M367" s="3"/>
      <c r="N367" s="3"/>
      <c r="O367" s="3"/>
      <c r="P367" s="3"/>
      <c r="Q367" s="3"/>
    </row>
    <row r="368" spans="1:17" ht="60" customHeight="1" x14ac:dyDescent="0.25">
      <c r="A368" s="9">
        <f>IF(F368="","",ROW()-19-COUNTBLANK($F$20:F368))</f>
        <v>319</v>
      </c>
      <c r="B368" s="4" t="s">
        <v>132</v>
      </c>
      <c r="C368" s="4" t="s">
        <v>462</v>
      </c>
      <c r="D368" s="4"/>
      <c r="E368" s="7" t="s">
        <v>737</v>
      </c>
      <c r="F368" s="7" t="s">
        <v>590</v>
      </c>
      <c r="G368" s="3" t="s">
        <v>55</v>
      </c>
      <c r="H368" s="3"/>
      <c r="I368" s="3"/>
      <c r="J368" s="3"/>
      <c r="K368" s="3"/>
      <c r="L368" s="3"/>
      <c r="M368" s="3"/>
      <c r="N368" s="3"/>
      <c r="O368" s="3"/>
      <c r="P368" s="3"/>
      <c r="Q368" s="3"/>
    </row>
    <row r="369" spans="1:17" ht="60" customHeight="1" x14ac:dyDescent="0.25">
      <c r="A369" s="9">
        <f>IF(F369="","",ROW()-19-COUNTBLANK($F$20:F369))</f>
        <v>320</v>
      </c>
      <c r="B369" s="4" t="s">
        <v>465</v>
      </c>
      <c r="C369" s="4" t="s">
        <v>591</v>
      </c>
      <c r="D369" s="4"/>
      <c r="E369" s="7" t="s">
        <v>738</v>
      </c>
      <c r="F369" s="7" t="s">
        <v>739</v>
      </c>
      <c r="G369" s="3" t="s">
        <v>73</v>
      </c>
      <c r="H369" s="3"/>
      <c r="I369" s="3"/>
      <c r="J369" s="3"/>
      <c r="K369" s="3"/>
      <c r="L369" s="3"/>
      <c r="M369" s="3"/>
      <c r="N369" s="3"/>
      <c r="O369" s="3"/>
      <c r="P369" s="3"/>
      <c r="Q369" s="3"/>
    </row>
    <row r="370" spans="1:17" ht="60" customHeight="1" x14ac:dyDescent="0.25">
      <c r="A370" s="9">
        <f>IF(F370="","",ROW()-19-COUNTBLANK($F$20:F370))</f>
        <v>321</v>
      </c>
      <c r="B370" s="4" t="s">
        <v>594</v>
      </c>
      <c r="C370" s="4" t="s">
        <v>595</v>
      </c>
      <c r="D370" s="4"/>
      <c r="E370" s="7" t="s">
        <v>740</v>
      </c>
      <c r="F370" s="7" t="s">
        <v>741</v>
      </c>
      <c r="G370" s="3" t="s">
        <v>55</v>
      </c>
      <c r="H370" s="3"/>
      <c r="I370" s="3"/>
      <c r="J370" s="3"/>
      <c r="K370" s="3"/>
      <c r="L370" s="3"/>
      <c r="M370" s="3"/>
      <c r="N370" s="3"/>
      <c r="O370" s="3"/>
      <c r="P370" s="3"/>
      <c r="Q370" s="3"/>
    </row>
    <row r="371" spans="1:17" ht="60" customHeight="1" x14ac:dyDescent="0.25">
      <c r="A371" s="9">
        <f>IF(F371="","",ROW()-19-COUNTBLANK($F$20:F371))</f>
        <v>322</v>
      </c>
      <c r="B371" s="4" t="s">
        <v>598</v>
      </c>
      <c r="C371" s="4" t="s">
        <v>599</v>
      </c>
      <c r="D371" s="4"/>
      <c r="E371" s="7" t="s">
        <v>742</v>
      </c>
      <c r="F371" s="7" t="s">
        <v>743</v>
      </c>
      <c r="G371" s="3" t="s">
        <v>73</v>
      </c>
      <c r="H371" s="3"/>
      <c r="I371" s="3"/>
      <c r="J371" s="3"/>
      <c r="K371" s="3"/>
      <c r="L371" s="3"/>
      <c r="M371" s="3"/>
      <c r="N371" s="3"/>
      <c r="O371" s="3"/>
      <c r="P371" s="3"/>
      <c r="Q371" s="3"/>
    </row>
    <row r="372" spans="1:17" ht="60" customHeight="1" x14ac:dyDescent="0.25">
      <c r="A372" s="9">
        <f>IF(F372="","",ROW()-19-COUNTBLANK($F$20:F372))</f>
        <v>323</v>
      </c>
      <c r="B372" s="4" t="s">
        <v>602</v>
      </c>
      <c r="C372" s="4" t="s">
        <v>603</v>
      </c>
      <c r="D372" s="4"/>
      <c r="E372" s="7" t="s">
        <v>742</v>
      </c>
      <c r="F372" s="7" t="s">
        <v>604</v>
      </c>
      <c r="G372" s="3" t="s">
        <v>73</v>
      </c>
      <c r="H372" s="3"/>
      <c r="I372" s="3"/>
      <c r="J372" s="3"/>
      <c r="K372" s="3"/>
      <c r="L372" s="3"/>
      <c r="M372" s="3"/>
      <c r="N372" s="3"/>
      <c r="O372" s="3"/>
      <c r="P372" s="3"/>
      <c r="Q372" s="3"/>
    </row>
    <row r="373" spans="1:17" ht="60" customHeight="1" x14ac:dyDescent="0.25">
      <c r="A373" s="9">
        <f>IF(F373="","",ROW()-19-COUNTBLANK($F$20:F373))</f>
        <v>324</v>
      </c>
      <c r="B373" s="4" t="s">
        <v>605</v>
      </c>
      <c r="C373" s="4" t="s">
        <v>606</v>
      </c>
      <c r="D373" s="4"/>
      <c r="E373" s="7" t="s">
        <v>744</v>
      </c>
      <c r="F373" s="7" t="s">
        <v>608</v>
      </c>
      <c r="G373" s="3" t="s">
        <v>73</v>
      </c>
      <c r="H373" s="3"/>
      <c r="I373" s="3"/>
      <c r="J373" s="3"/>
      <c r="K373" s="3"/>
      <c r="L373" s="3"/>
      <c r="M373" s="3"/>
      <c r="N373" s="3"/>
      <c r="O373" s="3"/>
      <c r="P373" s="3"/>
      <c r="Q373" s="3"/>
    </row>
    <row r="374" spans="1:17" ht="60" customHeight="1" x14ac:dyDescent="0.25">
      <c r="A374" s="9">
        <f>IF(F374="","",ROW()-19-COUNTBLANK($F$20:F374))</f>
        <v>325</v>
      </c>
      <c r="B374" s="4" t="s">
        <v>609</v>
      </c>
      <c r="C374" s="4" t="s">
        <v>610</v>
      </c>
      <c r="D374" s="4"/>
      <c r="E374" s="7" t="s">
        <v>710</v>
      </c>
      <c r="F374" s="7" t="s">
        <v>612</v>
      </c>
      <c r="G374" s="3" t="s">
        <v>55</v>
      </c>
      <c r="H374" s="3"/>
      <c r="I374" s="3"/>
      <c r="J374" s="3"/>
      <c r="K374" s="3"/>
      <c r="L374" s="3"/>
      <c r="M374" s="3"/>
      <c r="N374" s="3"/>
      <c r="O374" s="3"/>
      <c r="P374" s="3"/>
      <c r="Q374" s="3"/>
    </row>
    <row r="375" spans="1:17" ht="60" customHeight="1" x14ac:dyDescent="0.25">
      <c r="A375" s="9">
        <f>IF(F375="","",ROW()-19-COUNTBLANK($F$20:F375))</f>
        <v>326</v>
      </c>
      <c r="B375" s="17" t="s">
        <v>492</v>
      </c>
      <c r="C375" s="4" t="s">
        <v>493</v>
      </c>
      <c r="D375" s="4" t="s">
        <v>613</v>
      </c>
      <c r="E375" s="7" t="s">
        <v>745</v>
      </c>
      <c r="F375" s="7" t="s">
        <v>615</v>
      </c>
      <c r="G375" s="3" t="s">
        <v>50</v>
      </c>
      <c r="H375" s="3"/>
      <c r="I375" s="3"/>
      <c r="J375" s="3"/>
      <c r="K375" s="3"/>
      <c r="L375" s="3"/>
      <c r="M375" s="3"/>
      <c r="N375" s="3"/>
      <c r="O375" s="3"/>
      <c r="P375" s="3"/>
      <c r="Q375" s="3"/>
    </row>
    <row r="376" spans="1:17" ht="60" customHeight="1" x14ac:dyDescent="0.25">
      <c r="A376" s="9">
        <f>IF(F376="","",ROW()-19-COUNTBLANK($F$20:F376))</f>
        <v>327</v>
      </c>
      <c r="B376" s="18"/>
      <c r="C376" s="4" t="s">
        <v>497</v>
      </c>
      <c r="D376" s="4" t="s">
        <v>616</v>
      </c>
      <c r="E376" s="7" t="s">
        <v>746</v>
      </c>
      <c r="F376" s="7" t="s">
        <v>618</v>
      </c>
      <c r="G376" s="3" t="s">
        <v>50</v>
      </c>
      <c r="H376" s="3"/>
      <c r="I376" s="3"/>
      <c r="J376" s="3"/>
      <c r="K376" s="3"/>
      <c r="L376" s="3"/>
      <c r="M376" s="3"/>
      <c r="N376" s="3"/>
      <c r="O376" s="3"/>
      <c r="P376" s="3"/>
      <c r="Q376" s="3"/>
    </row>
    <row r="377" spans="1:17" ht="60" customHeight="1" x14ac:dyDescent="0.25">
      <c r="A377" s="9">
        <f>IF(F377="","",ROW()-19-COUNTBLANK($F$20:F377))</f>
        <v>328</v>
      </c>
      <c r="B377" s="18"/>
      <c r="C377" s="4" t="s">
        <v>619</v>
      </c>
      <c r="D377" s="4" t="s">
        <v>620</v>
      </c>
      <c r="E377" s="7" t="s">
        <v>713</v>
      </c>
      <c r="F377" s="7" t="s">
        <v>622</v>
      </c>
      <c r="G377" s="3" t="s">
        <v>55</v>
      </c>
      <c r="H377" s="3"/>
      <c r="I377" s="3"/>
      <c r="J377" s="3"/>
      <c r="K377" s="3"/>
      <c r="L377" s="3"/>
      <c r="M377" s="3"/>
      <c r="N377" s="3"/>
      <c r="O377" s="3"/>
      <c r="P377" s="3"/>
      <c r="Q377" s="3"/>
    </row>
    <row r="378" spans="1:17" ht="60" customHeight="1" x14ac:dyDescent="0.25">
      <c r="A378" s="9">
        <f>IF(F378="","",ROW()-19-COUNTBLANK($F$20:F378))</f>
        <v>329</v>
      </c>
      <c r="B378" s="19"/>
      <c r="C378" s="4" t="s">
        <v>623</v>
      </c>
      <c r="D378" s="4" t="s">
        <v>624</v>
      </c>
      <c r="E378" s="7" t="s">
        <v>714</v>
      </c>
      <c r="F378" s="7" t="s">
        <v>626</v>
      </c>
      <c r="G378" s="3" t="s">
        <v>55</v>
      </c>
      <c r="H378" s="3"/>
      <c r="I378" s="3"/>
      <c r="J378" s="3"/>
      <c r="K378" s="3"/>
      <c r="L378" s="3"/>
      <c r="M378" s="3"/>
      <c r="N378" s="3"/>
      <c r="O378" s="3"/>
      <c r="P378" s="3"/>
      <c r="Q378" s="3"/>
    </row>
    <row r="379" spans="1:17" ht="60" customHeight="1" x14ac:dyDescent="0.25">
      <c r="A379" s="9">
        <f>IF(F379="","",ROW()-19-COUNTBLANK($F$20:F379))</f>
        <v>330</v>
      </c>
      <c r="B379" s="17" t="s">
        <v>481</v>
      </c>
      <c r="C379" s="4" t="s">
        <v>482</v>
      </c>
      <c r="D379" s="4" t="s">
        <v>536</v>
      </c>
      <c r="E379" s="7" t="s">
        <v>742</v>
      </c>
      <c r="F379" s="7" t="s">
        <v>485</v>
      </c>
      <c r="G379" s="3" t="s">
        <v>73</v>
      </c>
      <c r="H379" s="3"/>
      <c r="I379" s="3"/>
      <c r="J379" s="3"/>
      <c r="K379" s="3"/>
      <c r="L379" s="3"/>
      <c r="M379" s="3"/>
      <c r="N379" s="3"/>
      <c r="O379" s="3"/>
      <c r="P379" s="3"/>
      <c r="Q379" s="3"/>
    </row>
    <row r="380" spans="1:17" ht="60" customHeight="1" x14ac:dyDescent="0.25">
      <c r="A380" s="9">
        <f>IF(F380="","",ROW()-19-COUNTBLANK($F$20:F380))</f>
        <v>331</v>
      </c>
      <c r="B380" s="18"/>
      <c r="C380" s="4" t="s">
        <v>486</v>
      </c>
      <c r="D380" s="4" t="s">
        <v>538</v>
      </c>
      <c r="E380" s="7" t="s">
        <v>742</v>
      </c>
      <c r="F380" s="7" t="s">
        <v>485</v>
      </c>
      <c r="G380" s="3" t="s">
        <v>73</v>
      </c>
      <c r="H380" s="3"/>
      <c r="I380" s="3"/>
      <c r="J380" s="3"/>
      <c r="K380" s="3"/>
      <c r="L380" s="3"/>
      <c r="M380" s="3"/>
      <c r="N380" s="3"/>
      <c r="O380" s="3"/>
      <c r="P380" s="3"/>
      <c r="Q380" s="3"/>
    </row>
    <row r="381" spans="1:17" ht="60" customHeight="1" x14ac:dyDescent="0.25">
      <c r="A381" s="9">
        <f>IF(F381="","",ROW()-19-COUNTBLANK($F$20:F381))</f>
        <v>332</v>
      </c>
      <c r="B381" s="19"/>
      <c r="C381" s="4" t="s">
        <v>488</v>
      </c>
      <c r="D381" s="4" t="s">
        <v>539</v>
      </c>
      <c r="E381" s="7" t="s">
        <v>747</v>
      </c>
      <c r="F381" s="7" t="s">
        <v>491</v>
      </c>
      <c r="G381" s="3" t="s">
        <v>73</v>
      </c>
      <c r="H381" s="3"/>
      <c r="I381" s="3"/>
      <c r="J381" s="3"/>
      <c r="K381" s="3"/>
      <c r="L381" s="3"/>
      <c r="M381" s="3"/>
      <c r="N381" s="3"/>
      <c r="O381" s="3"/>
      <c r="P381" s="3"/>
      <c r="Q381" s="3"/>
    </row>
    <row r="382" spans="1:17" ht="60" customHeight="1" x14ac:dyDescent="0.25">
      <c r="A382" s="9">
        <f>IF(F382="","",ROW()-19-COUNTBLANK($F$20:F382))</f>
        <v>333</v>
      </c>
      <c r="B382" s="4" t="s">
        <v>473</v>
      </c>
      <c r="C382" s="4" t="s">
        <v>628</v>
      </c>
      <c r="D382" s="4"/>
      <c r="E382" s="7" t="s">
        <v>748</v>
      </c>
      <c r="F382" s="7" t="s">
        <v>749</v>
      </c>
      <c r="G382" s="3" t="s">
        <v>50</v>
      </c>
      <c r="H382" s="3"/>
      <c r="I382" s="3"/>
      <c r="J382" s="3"/>
      <c r="K382" s="3"/>
      <c r="L382" s="3"/>
      <c r="M382" s="3"/>
      <c r="N382" s="3"/>
      <c r="O382" s="3"/>
      <c r="P382" s="3"/>
      <c r="Q382" s="3"/>
    </row>
    <row r="383" spans="1:17" ht="60" customHeight="1" x14ac:dyDescent="0.25">
      <c r="A383" s="9">
        <f>IF(F383="","",ROW()-19-COUNTBLANK($F$20:F383))</f>
        <v>334</v>
      </c>
      <c r="B383" s="17" t="s">
        <v>473</v>
      </c>
      <c r="C383" s="17" t="s">
        <v>505</v>
      </c>
      <c r="D383" s="4" t="s">
        <v>506</v>
      </c>
      <c r="E383" s="7" t="s">
        <v>507</v>
      </c>
      <c r="F383" s="7" t="s">
        <v>508</v>
      </c>
      <c r="G383" s="3" t="s">
        <v>55</v>
      </c>
      <c r="H383" s="3"/>
      <c r="I383" s="3"/>
      <c r="J383" s="3"/>
      <c r="K383" s="3"/>
      <c r="L383" s="3"/>
      <c r="M383" s="3"/>
      <c r="N383" s="3"/>
      <c r="O383" s="3"/>
      <c r="P383" s="3"/>
      <c r="Q383" s="3"/>
    </row>
    <row r="384" spans="1:17" ht="60" customHeight="1" x14ac:dyDescent="0.25">
      <c r="A384" s="9">
        <f>IF(F384="","",ROW()-19-COUNTBLANK($F$20:F384))</f>
        <v>335</v>
      </c>
      <c r="B384" s="18"/>
      <c r="C384" s="19"/>
      <c r="D384" s="4" t="s">
        <v>509</v>
      </c>
      <c r="E384" s="7" t="s">
        <v>510</v>
      </c>
      <c r="F384" s="7" t="s">
        <v>511</v>
      </c>
      <c r="G384" s="3" t="s">
        <v>55</v>
      </c>
      <c r="H384" s="3"/>
      <c r="I384" s="3"/>
      <c r="J384" s="3"/>
      <c r="K384" s="3"/>
      <c r="L384" s="3"/>
      <c r="M384" s="3"/>
      <c r="N384" s="3"/>
      <c r="O384" s="3"/>
      <c r="P384" s="3"/>
      <c r="Q384" s="3"/>
    </row>
    <row r="385" spans="1:17" ht="60" customHeight="1" x14ac:dyDescent="0.25">
      <c r="A385" s="9">
        <f>IF(F385="","",ROW()-19-COUNTBLANK($F$20:F385))</f>
        <v>336</v>
      </c>
      <c r="B385" s="18"/>
      <c r="C385" s="4" t="s">
        <v>512</v>
      </c>
      <c r="D385" s="4" t="s">
        <v>513</v>
      </c>
      <c r="E385" s="7" t="s">
        <v>514</v>
      </c>
      <c r="F385" s="7" t="s">
        <v>515</v>
      </c>
      <c r="G385" s="3" t="s">
        <v>55</v>
      </c>
      <c r="H385" s="3"/>
      <c r="I385" s="3"/>
      <c r="J385" s="3"/>
      <c r="K385" s="3"/>
      <c r="L385" s="3"/>
      <c r="M385" s="3"/>
      <c r="N385" s="3"/>
      <c r="O385" s="3"/>
      <c r="P385" s="3"/>
      <c r="Q385" s="3"/>
    </row>
    <row r="386" spans="1:17" ht="60" customHeight="1" x14ac:dyDescent="0.25">
      <c r="A386" s="9">
        <f>IF(F386="","",ROW()-19-COUNTBLANK($F$20:F386))</f>
        <v>337</v>
      </c>
      <c r="B386" s="19"/>
      <c r="C386" s="4" t="s">
        <v>516</v>
      </c>
      <c r="D386" s="4" t="s">
        <v>517</v>
      </c>
      <c r="E386" s="7" t="s">
        <v>518</v>
      </c>
      <c r="F386" s="7" t="s">
        <v>519</v>
      </c>
      <c r="G386" s="3" t="s">
        <v>55</v>
      </c>
      <c r="H386" s="3"/>
      <c r="I386" s="3"/>
      <c r="J386" s="3"/>
      <c r="K386" s="3"/>
      <c r="L386" s="3"/>
      <c r="M386" s="3"/>
      <c r="N386" s="3"/>
      <c r="O386" s="3"/>
      <c r="P386" s="3"/>
      <c r="Q386" s="3"/>
    </row>
    <row r="387" spans="1:17" ht="60" customHeight="1" x14ac:dyDescent="0.25">
      <c r="A387" s="9">
        <f>IF(F387="","",ROW()-19-COUNTBLANK($F$20:F387))</f>
        <v>338</v>
      </c>
      <c r="B387" s="17" t="s">
        <v>138</v>
      </c>
      <c r="C387" s="17" t="s">
        <v>543</v>
      </c>
      <c r="D387" s="4" t="s">
        <v>750</v>
      </c>
      <c r="E387" s="7" t="s">
        <v>751</v>
      </c>
      <c r="F387" s="7" t="s">
        <v>752</v>
      </c>
      <c r="G387" s="3" t="s">
        <v>50</v>
      </c>
      <c r="H387" s="3"/>
      <c r="I387" s="3"/>
      <c r="J387" s="3"/>
      <c r="K387" s="3"/>
      <c r="L387" s="3"/>
      <c r="M387" s="3"/>
      <c r="N387" s="3"/>
      <c r="O387" s="3"/>
      <c r="P387" s="3"/>
      <c r="Q387" s="3"/>
    </row>
    <row r="388" spans="1:17" ht="60" customHeight="1" x14ac:dyDescent="0.25">
      <c r="A388" s="9">
        <f>IF(F388="","",ROW()-19-COUNTBLANK($F$20:F388))</f>
        <v>339</v>
      </c>
      <c r="B388" s="18"/>
      <c r="C388" s="19"/>
      <c r="D388" s="4" t="s">
        <v>753</v>
      </c>
      <c r="E388" s="7" t="s">
        <v>754</v>
      </c>
      <c r="F388" s="7" t="s">
        <v>755</v>
      </c>
      <c r="G388" s="3" t="s">
        <v>50</v>
      </c>
      <c r="H388" s="3"/>
      <c r="I388" s="3"/>
      <c r="J388" s="3"/>
      <c r="K388" s="3"/>
      <c r="L388" s="3"/>
      <c r="M388" s="3"/>
      <c r="N388" s="3"/>
      <c r="O388" s="3"/>
      <c r="P388" s="3"/>
      <c r="Q388" s="3"/>
    </row>
    <row r="389" spans="1:17" ht="60" customHeight="1" x14ac:dyDescent="0.25">
      <c r="A389" s="9">
        <f>IF(F389="","",ROW()-19-COUNTBLANK($F$20:F389))</f>
        <v>340</v>
      </c>
      <c r="B389" s="18"/>
      <c r="C389" s="4" t="s">
        <v>550</v>
      </c>
      <c r="D389" s="4" t="s">
        <v>551</v>
      </c>
      <c r="E389" s="7" t="s">
        <v>756</v>
      </c>
      <c r="F389" s="7" t="s">
        <v>553</v>
      </c>
      <c r="G389" s="3" t="s">
        <v>55</v>
      </c>
      <c r="H389" s="3"/>
      <c r="I389" s="3"/>
      <c r="J389" s="3"/>
      <c r="K389" s="3"/>
      <c r="L389" s="3"/>
      <c r="M389" s="3"/>
      <c r="N389" s="3"/>
      <c r="O389" s="3"/>
      <c r="P389" s="3"/>
      <c r="Q389" s="3"/>
    </row>
    <row r="390" spans="1:17" ht="60" customHeight="1" x14ac:dyDescent="0.25">
      <c r="A390" s="9">
        <f>IF(F390="","",ROW()-19-COUNTBLANK($F$20:F390))</f>
        <v>341</v>
      </c>
      <c r="B390" s="18"/>
      <c r="C390" s="4" t="s">
        <v>554</v>
      </c>
      <c r="D390" s="4" t="s">
        <v>555</v>
      </c>
      <c r="E390" s="7" t="s">
        <v>757</v>
      </c>
      <c r="F390" s="7" t="s">
        <v>557</v>
      </c>
      <c r="G390" s="3" t="s">
        <v>55</v>
      </c>
      <c r="H390" s="3"/>
      <c r="I390" s="3"/>
      <c r="J390" s="3"/>
      <c r="K390" s="3"/>
      <c r="L390" s="3"/>
      <c r="M390" s="3"/>
      <c r="N390" s="3"/>
      <c r="O390" s="3"/>
      <c r="P390" s="3"/>
      <c r="Q390" s="3"/>
    </row>
    <row r="391" spans="1:17" ht="60" customHeight="1" x14ac:dyDescent="0.25">
      <c r="A391" s="9">
        <f>IF(F391="","",ROW()-19-COUNTBLANK($F$20:F391))</f>
        <v>342</v>
      </c>
      <c r="B391" s="18"/>
      <c r="C391" s="17" t="s">
        <v>558</v>
      </c>
      <c r="D391" s="4" t="s">
        <v>758</v>
      </c>
      <c r="E391" s="7" t="s">
        <v>759</v>
      </c>
      <c r="F391" s="7" t="s">
        <v>561</v>
      </c>
      <c r="G391" s="3" t="s">
        <v>55</v>
      </c>
      <c r="H391" s="3"/>
      <c r="I391" s="3"/>
      <c r="J391" s="3"/>
      <c r="K391" s="3"/>
      <c r="L391" s="3"/>
      <c r="M391" s="3"/>
      <c r="N391" s="3"/>
      <c r="O391" s="3"/>
      <c r="P391" s="3"/>
      <c r="Q391" s="3"/>
    </row>
    <row r="392" spans="1:17" ht="60" customHeight="1" x14ac:dyDescent="0.25">
      <c r="A392" s="9">
        <f>IF(F392="","",ROW()-19-COUNTBLANK($F$20:F392))</f>
        <v>343</v>
      </c>
      <c r="B392" s="18"/>
      <c r="C392" s="18"/>
      <c r="D392" s="4" t="s">
        <v>562</v>
      </c>
      <c r="E392" s="7" t="s">
        <v>760</v>
      </c>
      <c r="F392" s="7" t="s">
        <v>564</v>
      </c>
      <c r="G392" s="3" t="s">
        <v>50</v>
      </c>
      <c r="H392" s="3"/>
      <c r="I392" s="3"/>
      <c r="J392" s="3"/>
      <c r="K392" s="3"/>
      <c r="L392" s="3"/>
      <c r="M392" s="3"/>
      <c r="N392" s="3"/>
      <c r="O392" s="3"/>
      <c r="P392" s="3"/>
      <c r="Q392" s="3"/>
    </row>
    <row r="393" spans="1:17" ht="60" customHeight="1" x14ac:dyDescent="0.25">
      <c r="A393" s="9">
        <f>IF(F393="","",ROW()-19-COUNTBLANK($F$20:F393))</f>
        <v>344</v>
      </c>
      <c r="B393" s="19"/>
      <c r="C393" s="19"/>
      <c r="D393" s="4" t="s">
        <v>565</v>
      </c>
      <c r="E393" s="7" t="s">
        <v>761</v>
      </c>
      <c r="F393" s="7" t="s">
        <v>567</v>
      </c>
      <c r="G393" s="3" t="s">
        <v>50</v>
      </c>
      <c r="H393" s="3"/>
      <c r="I393" s="3"/>
      <c r="J393" s="3"/>
      <c r="K393" s="3"/>
      <c r="L393" s="3"/>
      <c r="M393" s="3"/>
      <c r="N393" s="3"/>
      <c r="O393" s="3"/>
      <c r="P393" s="3"/>
      <c r="Q393" s="3"/>
    </row>
    <row r="394" spans="1:17" ht="20.100000000000001" customHeight="1" x14ac:dyDescent="0.25">
      <c r="A394" s="9" t="str">
        <f>IF(F394="","",ROW()-19-COUNTBLANK($F$20:F394))</f>
        <v/>
      </c>
      <c r="B394" s="12" t="s">
        <v>762</v>
      </c>
      <c r="C394" s="12"/>
      <c r="D394" s="12"/>
      <c r="E394" s="12"/>
      <c r="F394" s="12"/>
      <c r="G394" s="12"/>
      <c r="H394" s="12"/>
      <c r="I394" s="12"/>
      <c r="J394" s="12"/>
      <c r="K394" s="12"/>
      <c r="L394" s="12"/>
      <c r="M394" s="12"/>
      <c r="N394" s="12"/>
      <c r="O394" s="12"/>
      <c r="P394" s="12"/>
      <c r="Q394" s="12"/>
    </row>
    <row r="395" spans="1:17" ht="60" customHeight="1" x14ac:dyDescent="0.25">
      <c r="A395" s="9">
        <f>IF(F395="","",ROW()-19-COUNTBLANK($F$20:F395))</f>
        <v>345</v>
      </c>
      <c r="B395" s="4" t="s">
        <v>216</v>
      </c>
      <c r="C395" s="4" t="s">
        <v>763</v>
      </c>
      <c r="D395" s="4"/>
      <c r="E395" s="7" t="s">
        <v>764</v>
      </c>
      <c r="F395" s="7" t="s">
        <v>589</v>
      </c>
      <c r="G395" s="3" t="s">
        <v>55</v>
      </c>
      <c r="H395" s="3"/>
      <c r="I395" s="3"/>
      <c r="J395" s="3"/>
      <c r="K395" s="3"/>
      <c r="L395" s="3"/>
      <c r="M395" s="3"/>
      <c r="N395" s="3"/>
      <c r="O395" s="3"/>
      <c r="P395" s="3"/>
      <c r="Q395" s="3"/>
    </row>
    <row r="396" spans="1:17" ht="60" customHeight="1" x14ac:dyDescent="0.25">
      <c r="A396" s="9">
        <f>IF(F396="","",ROW()-19-COUNTBLANK($F$20:F396))</f>
        <v>346</v>
      </c>
      <c r="B396" s="4" t="s">
        <v>132</v>
      </c>
      <c r="C396" s="4" t="s">
        <v>462</v>
      </c>
      <c r="D396" s="4"/>
      <c r="E396" s="7" t="s">
        <v>764</v>
      </c>
      <c r="F396" s="7" t="s">
        <v>590</v>
      </c>
      <c r="G396" s="3" t="s">
        <v>55</v>
      </c>
      <c r="H396" s="3"/>
      <c r="I396" s="3"/>
      <c r="J396" s="3"/>
      <c r="K396" s="3"/>
      <c r="L396" s="3"/>
      <c r="M396" s="3"/>
      <c r="N396" s="3"/>
      <c r="O396" s="3"/>
      <c r="P396" s="3"/>
      <c r="Q396" s="3"/>
    </row>
    <row r="397" spans="1:17" ht="60" customHeight="1" x14ac:dyDescent="0.25">
      <c r="A397" s="9">
        <f>IF(F397="","",ROW()-19-COUNTBLANK($F$20:F397))</f>
        <v>347</v>
      </c>
      <c r="B397" s="4" t="s">
        <v>465</v>
      </c>
      <c r="C397" s="4" t="s">
        <v>591</v>
      </c>
      <c r="D397" s="4"/>
      <c r="E397" s="7" t="s">
        <v>765</v>
      </c>
      <c r="F397" s="7" t="s">
        <v>766</v>
      </c>
      <c r="G397" s="3" t="s">
        <v>73</v>
      </c>
      <c r="H397" s="3"/>
      <c r="I397" s="3"/>
      <c r="J397" s="3"/>
      <c r="K397" s="3"/>
      <c r="L397" s="3"/>
      <c r="M397" s="3"/>
      <c r="N397" s="3"/>
      <c r="O397" s="3"/>
      <c r="P397" s="3"/>
      <c r="Q397" s="3"/>
    </row>
    <row r="398" spans="1:17" ht="60" customHeight="1" x14ac:dyDescent="0.25">
      <c r="A398" s="9">
        <f>IF(F398="","",ROW()-19-COUNTBLANK($F$20:F398))</f>
        <v>348</v>
      </c>
      <c r="B398" s="4" t="s">
        <v>594</v>
      </c>
      <c r="C398" s="4" t="s">
        <v>595</v>
      </c>
      <c r="D398" s="4"/>
      <c r="E398" s="7" t="s">
        <v>767</v>
      </c>
      <c r="F398" s="7" t="s">
        <v>768</v>
      </c>
      <c r="G398" s="3" t="s">
        <v>55</v>
      </c>
      <c r="H398" s="3"/>
      <c r="I398" s="3"/>
      <c r="J398" s="3"/>
      <c r="K398" s="3"/>
      <c r="L398" s="3"/>
      <c r="M398" s="3"/>
      <c r="N398" s="3"/>
      <c r="O398" s="3"/>
      <c r="P398" s="3"/>
      <c r="Q398" s="3"/>
    </row>
    <row r="399" spans="1:17" ht="60" customHeight="1" x14ac:dyDescent="0.25">
      <c r="A399" s="9">
        <f>IF(F399="","",ROW()-19-COUNTBLANK($F$20:F399))</f>
        <v>349</v>
      </c>
      <c r="B399" s="4" t="s">
        <v>598</v>
      </c>
      <c r="C399" s="4" t="s">
        <v>599</v>
      </c>
      <c r="D399" s="4"/>
      <c r="E399" s="7" t="s">
        <v>769</v>
      </c>
      <c r="F399" s="7" t="s">
        <v>601</v>
      </c>
      <c r="G399" s="3" t="s">
        <v>73</v>
      </c>
      <c r="H399" s="3"/>
      <c r="I399" s="3"/>
      <c r="J399" s="3"/>
      <c r="K399" s="3"/>
      <c r="L399" s="3"/>
      <c r="M399" s="3"/>
      <c r="N399" s="3"/>
      <c r="O399" s="3"/>
      <c r="P399" s="3"/>
      <c r="Q399" s="3"/>
    </row>
    <row r="400" spans="1:17" ht="60" customHeight="1" x14ac:dyDescent="0.25">
      <c r="A400" s="9">
        <f>IF(F400="","",ROW()-19-COUNTBLANK($F$20:F400))</f>
        <v>350</v>
      </c>
      <c r="B400" s="4" t="s">
        <v>602</v>
      </c>
      <c r="C400" s="4" t="s">
        <v>603</v>
      </c>
      <c r="D400" s="4"/>
      <c r="E400" s="7" t="s">
        <v>769</v>
      </c>
      <c r="F400" s="7" t="s">
        <v>604</v>
      </c>
      <c r="G400" s="3" t="s">
        <v>73</v>
      </c>
      <c r="H400" s="3"/>
      <c r="I400" s="3"/>
      <c r="J400" s="3"/>
      <c r="K400" s="3"/>
      <c r="L400" s="3"/>
      <c r="M400" s="3"/>
      <c r="N400" s="3"/>
      <c r="O400" s="3"/>
      <c r="P400" s="3"/>
      <c r="Q400" s="3"/>
    </row>
    <row r="401" spans="1:17" ht="60" customHeight="1" x14ac:dyDescent="0.25">
      <c r="A401" s="9">
        <f>IF(F401="","",ROW()-19-COUNTBLANK($F$20:F401))</f>
        <v>351</v>
      </c>
      <c r="B401" s="4" t="s">
        <v>605</v>
      </c>
      <c r="C401" s="4" t="s">
        <v>606</v>
      </c>
      <c r="D401" s="4"/>
      <c r="E401" s="7" t="s">
        <v>770</v>
      </c>
      <c r="F401" s="7" t="s">
        <v>608</v>
      </c>
      <c r="G401" s="3" t="s">
        <v>73</v>
      </c>
      <c r="H401" s="3"/>
      <c r="I401" s="3"/>
      <c r="J401" s="3"/>
      <c r="K401" s="3"/>
      <c r="L401" s="3"/>
      <c r="M401" s="3"/>
      <c r="N401" s="3"/>
      <c r="O401" s="3"/>
      <c r="P401" s="3"/>
      <c r="Q401" s="3"/>
    </row>
    <row r="402" spans="1:17" ht="60" customHeight="1" x14ac:dyDescent="0.25">
      <c r="A402" s="9">
        <f>IF(F402="","",ROW()-19-COUNTBLANK($F$20:F402))</f>
        <v>352</v>
      </c>
      <c r="B402" s="4" t="s">
        <v>609</v>
      </c>
      <c r="C402" s="4" t="s">
        <v>610</v>
      </c>
      <c r="D402" s="4"/>
      <c r="E402" s="7" t="s">
        <v>771</v>
      </c>
      <c r="F402" s="7" t="s">
        <v>612</v>
      </c>
      <c r="G402" s="3" t="s">
        <v>55</v>
      </c>
      <c r="H402" s="3"/>
      <c r="I402" s="3"/>
      <c r="J402" s="3"/>
      <c r="K402" s="3"/>
      <c r="L402" s="3"/>
      <c r="M402" s="3"/>
      <c r="N402" s="3"/>
      <c r="O402" s="3"/>
      <c r="P402" s="3"/>
      <c r="Q402" s="3"/>
    </row>
    <row r="403" spans="1:17" ht="60" customHeight="1" x14ac:dyDescent="0.25">
      <c r="A403" s="9">
        <f>IF(F403="","",ROW()-19-COUNTBLANK($F$20:F403))</f>
        <v>353</v>
      </c>
      <c r="B403" s="17" t="s">
        <v>492</v>
      </c>
      <c r="C403" s="4" t="s">
        <v>493</v>
      </c>
      <c r="D403" s="4" t="s">
        <v>613</v>
      </c>
      <c r="E403" s="7" t="s">
        <v>772</v>
      </c>
      <c r="F403" s="7" t="s">
        <v>615</v>
      </c>
      <c r="G403" s="3" t="s">
        <v>50</v>
      </c>
      <c r="H403" s="3"/>
      <c r="I403" s="3"/>
      <c r="J403" s="3"/>
      <c r="K403" s="3"/>
      <c r="L403" s="3"/>
      <c r="M403" s="3"/>
      <c r="N403" s="3"/>
      <c r="O403" s="3"/>
      <c r="P403" s="3"/>
      <c r="Q403" s="3"/>
    </row>
    <row r="404" spans="1:17" ht="60" customHeight="1" x14ac:dyDescent="0.25">
      <c r="A404" s="9">
        <f>IF(F404="","",ROW()-19-COUNTBLANK($F$20:F404))</f>
        <v>354</v>
      </c>
      <c r="B404" s="18"/>
      <c r="C404" s="4" t="s">
        <v>497</v>
      </c>
      <c r="D404" s="4" t="s">
        <v>616</v>
      </c>
      <c r="E404" s="7" t="s">
        <v>773</v>
      </c>
      <c r="F404" s="7" t="s">
        <v>618</v>
      </c>
      <c r="G404" s="3" t="s">
        <v>50</v>
      </c>
      <c r="H404" s="3"/>
      <c r="I404" s="3"/>
      <c r="J404" s="3"/>
      <c r="K404" s="3"/>
      <c r="L404" s="3"/>
      <c r="M404" s="3"/>
      <c r="N404" s="3"/>
      <c r="O404" s="3"/>
      <c r="P404" s="3"/>
      <c r="Q404" s="3"/>
    </row>
    <row r="405" spans="1:17" ht="60" customHeight="1" x14ac:dyDescent="0.25">
      <c r="A405" s="9">
        <f>IF(F405="","",ROW()-19-COUNTBLANK($F$20:F405))</f>
        <v>355</v>
      </c>
      <c r="B405" s="18"/>
      <c r="C405" s="4" t="s">
        <v>619</v>
      </c>
      <c r="D405" s="4" t="s">
        <v>620</v>
      </c>
      <c r="E405" s="7" t="s">
        <v>774</v>
      </c>
      <c r="F405" s="7" t="s">
        <v>622</v>
      </c>
      <c r="G405" s="3" t="s">
        <v>55</v>
      </c>
      <c r="H405" s="3"/>
      <c r="I405" s="3"/>
      <c r="J405" s="3"/>
      <c r="K405" s="3"/>
      <c r="L405" s="3"/>
      <c r="M405" s="3"/>
      <c r="N405" s="3"/>
      <c r="O405" s="3"/>
      <c r="P405" s="3"/>
      <c r="Q405" s="3"/>
    </row>
    <row r="406" spans="1:17" ht="60" customHeight="1" x14ac:dyDescent="0.25">
      <c r="A406" s="9">
        <f>IF(F406="","",ROW()-19-COUNTBLANK($F$20:F406))</f>
        <v>356</v>
      </c>
      <c r="B406" s="19"/>
      <c r="C406" s="4" t="s">
        <v>623</v>
      </c>
      <c r="D406" s="4" t="s">
        <v>624</v>
      </c>
      <c r="E406" s="7" t="s">
        <v>775</v>
      </c>
      <c r="F406" s="7" t="s">
        <v>626</v>
      </c>
      <c r="G406" s="3" t="s">
        <v>55</v>
      </c>
      <c r="H406" s="3"/>
      <c r="I406" s="3"/>
      <c r="J406" s="3"/>
      <c r="K406" s="3"/>
      <c r="L406" s="3"/>
      <c r="M406" s="3"/>
      <c r="N406" s="3"/>
      <c r="O406" s="3"/>
      <c r="P406" s="3"/>
      <c r="Q406" s="3"/>
    </row>
    <row r="407" spans="1:17" ht="60" customHeight="1" x14ac:dyDescent="0.25">
      <c r="A407" s="9">
        <f>IF(F407="","",ROW()-19-COUNTBLANK($F$20:F407))</f>
        <v>357</v>
      </c>
      <c r="B407" s="17" t="s">
        <v>481</v>
      </c>
      <c r="C407" s="4" t="s">
        <v>482</v>
      </c>
      <c r="D407" s="4" t="s">
        <v>536</v>
      </c>
      <c r="E407" s="7" t="s">
        <v>769</v>
      </c>
      <c r="F407" s="7" t="s">
        <v>485</v>
      </c>
      <c r="G407" s="3" t="s">
        <v>73</v>
      </c>
      <c r="H407" s="3"/>
      <c r="I407" s="3"/>
      <c r="J407" s="3"/>
      <c r="K407" s="3"/>
      <c r="L407" s="3"/>
      <c r="M407" s="3"/>
      <c r="N407" s="3"/>
      <c r="O407" s="3"/>
      <c r="P407" s="3"/>
      <c r="Q407" s="3"/>
    </row>
    <row r="408" spans="1:17" ht="60" customHeight="1" x14ac:dyDescent="0.25">
      <c r="A408" s="9">
        <f>IF(F408="","",ROW()-19-COUNTBLANK($F$20:F408))</f>
        <v>358</v>
      </c>
      <c r="B408" s="18"/>
      <c r="C408" s="4" t="s">
        <v>486</v>
      </c>
      <c r="D408" s="4" t="s">
        <v>538</v>
      </c>
      <c r="E408" s="7" t="s">
        <v>769</v>
      </c>
      <c r="F408" s="7" t="s">
        <v>485</v>
      </c>
      <c r="G408" s="3" t="s">
        <v>73</v>
      </c>
      <c r="H408" s="3"/>
      <c r="I408" s="3"/>
      <c r="J408" s="3"/>
      <c r="K408" s="3"/>
      <c r="L408" s="3"/>
      <c r="M408" s="3"/>
      <c r="N408" s="3"/>
      <c r="O408" s="3"/>
      <c r="P408" s="3"/>
      <c r="Q408" s="3"/>
    </row>
    <row r="409" spans="1:17" ht="60" customHeight="1" x14ac:dyDescent="0.25">
      <c r="A409" s="9">
        <f>IF(F409="","",ROW()-19-COUNTBLANK($F$20:F409))</f>
        <v>359</v>
      </c>
      <c r="B409" s="19"/>
      <c r="C409" s="4" t="s">
        <v>488</v>
      </c>
      <c r="D409" s="4" t="s">
        <v>539</v>
      </c>
      <c r="E409" s="7" t="s">
        <v>776</v>
      </c>
      <c r="F409" s="7" t="s">
        <v>491</v>
      </c>
      <c r="G409" s="3" t="s">
        <v>73</v>
      </c>
      <c r="H409" s="3"/>
      <c r="I409" s="3"/>
      <c r="J409" s="3"/>
      <c r="K409" s="3"/>
      <c r="L409" s="3"/>
      <c r="M409" s="3"/>
      <c r="N409" s="3"/>
      <c r="O409" s="3"/>
      <c r="P409" s="3"/>
      <c r="Q409" s="3"/>
    </row>
    <row r="410" spans="1:17" ht="60" customHeight="1" x14ac:dyDescent="0.25">
      <c r="A410" s="9">
        <f>IF(F410="","",ROW()-19-COUNTBLANK($F$20:F410))</f>
        <v>360</v>
      </c>
      <c r="B410" s="4" t="s">
        <v>473</v>
      </c>
      <c r="C410" s="4" t="s">
        <v>628</v>
      </c>
      <c r="D410" s="4"/>
      <c r="E410" s="7" t="s">
        <v>777</v>
      </c>
      <c r="F410" s="7" t="s">
        <v>778</v>
      </c>
      <c r="G410" s="3" t="s">
        <v>50</v>
      </c>
      <c r="H410" s="3"/>
      <c r="I410" s="3"/>
      <c r="J410" s="3"/>
      <c r="K410" s="3"/>
      <c r="L410" s="3"/>
      <c r="M410" s="3"/>
      <c r="N410" s="3"/>
      <c r="O410" s="3"/>
      <c r="P410" s="3"/>
      <c r="Q410" s="3"/>
    </row>
    <row r="411" spans="1:17" ht="60" customHeight="1" x14ac:dyDescent="0.25">
      <c r="A411" s="9">
        <f>IF(F411="","",ROW()-19-COUNTBLANK($F$20:F411))</f>
        <v>361</v>
      </c>
      <c r="B411" s="17" t="s">
        <v>473</v>
      </c>
      <c r="C411" s="17" t="s">
        <v>505</v>
      </c>
      <c r="D411" s="4" t="s">
        <v>506</v>
      </c>
      <c r="E411" s="7" t="s">
        <v>507</v>
      </c>
      <c r="F411" s="7" t="s">
        <v>508</v>
      </c>
      <c r="G411" s="3" t="s">
        <v>55</v>
      </c>
      <c r="H411" s="3"/>
      <c r="I411" s="3"/>
      <c r="J411" s="3"/>
      <c r="K411" s="3"/>
      <c r="L411" s="3"/>
      <c r="M411" s="3"/>
      <c r="N411" s="3"/>
      <c r="O411" s="3"/>
      <c r="P411" s="3"/>
      <c r="Q411" s="3"/>
    </row>
    <row r="412" spans="1:17" ht="60" customHeight="1" x14ac:dyDescent="0.25">
      <c r="A412" s="9">
        <f>IF(F412="","",ROW()-19-COUNTBLANK($F$20:F412))</f>
        <v>362</v>
      </c>
      <c r="B412" s="18"/>
      <c r="C412" s="19"/>
      <c r="D412" s="4" t="s">
        <v>509</v>
      </c>
      <c r="E412" s="7" t="s">
        <v>510</v>
      </c>
      <c r="F412" s="7" t="s">
        <v>511</v>
      </c>
      <c r="G412" s="3" t="s">
        <v>55</v>
      </c>
      <c r="H412" s="3"/>
      <c r="I412" s="3"/>
      <c r="J412" s="3"/>
      <c r="K412" s="3"/>
      <c r="L412" s="3"/>
      <c r="M412" s="3"/>
      <c r="N412" s="3"/>
      <c r="O412" s="3"/>
      <c r="P412" s="3"/>
      <c r="Q412" s="3"/>
    </row>
    <row r="413" spans="1:17" ht="60" customHeight="1" x14ac:dyDescent="0.25">
      <c r="A413" s="9">
        <f>IF(F413="","",ROW()-19-COUNTBLANK($F$20:F413))</f>
        <v>363</v>
      </c>
      <c r="B413" s="18"/>
      <c r="C413" s="4" t="s">
        <v>512</v>
      </c>
      <c r="D413" s="4" t="s">
        <v>513</v>
      </c>
      <c r="E413" s="7" t="s">
        <v>514</v>
      </c>
      <c r="F413" s="7" t="s">
        <v>515</v>
      </c>
      <c r="G413" s="3" t="s">
        <v>55</v>
      </c>
      <c r="H413" s="3"/>
      <c r="I413" s="3"/>
      <c r="J413" s="3"/>
      <c r="K413" s="3"/>
      <c r="L413" s="3"/>
      <c r="M413" s="3"/>
      <c r="N413" s="3"/>
      <c r="O413" s="3"/>
      <c r="P413" s="3"/>
      <c r="Q413" s="3"/>
    </row>
    <row r="414" spans="1:17" ht="60" customHeight="1" x14ac:dyDescent="0.25">
      <c r="A414" s="9">
        <f>IF(F414="","",ROW()-19-COUNTBLANK($F$20:F414))</f>
        <v>364</v>
      </c>
      <c r="B414" s="19"/>
      <c r="C414" s="4" t="s">
        <v>516</v>
      </c>
      <c r="D414" s="4" t="s">
        <v>517</v>
      </c>
      <c r="E414" s="7" t="s">
        <v>518</v>
      </c>
      <c r="F414" s="7" t="s">
        <v>519</v>
      </c>
      <c r="G414" s="3" t="s">
        <v>55</v>
      </c>
      <c r="H414" s="3"/>
      <c r="I414" s="3"/>
      <c r="J414" s="3"/>
      <c r="K414" s="3"/>
      <c r="L414" s="3"/>
      <c r="M414" s="3"/>
      <c r="N414" s="3"/>
      <c r="O414" s="3"/>
      <c r="P414" s="3"/>
      <c r="Q414" s="3"/>
    </row>
    <row r="415" spans="1:17" ht="60" customHeight="1" x14ac:dyDescent="0.25">
      <c r="A415" s="9">
        <f>IF(F415="","",ROW()-19-COUNTBLANK($F$20:F415))</f>
        <v>365</v>
      </c>
      <c r="B415" s="17" t="s">
        <v>138</v>
      </c>
      <c r="C415" s="17" t="s">
        <v>543</v>
      </c>
      <c r="D415" s="4" t="s">
        <v>779</v>
      </c>
      <c r="E415" s="7" t="s">
        <v>780</v>
      </c>
      <c r="F415" s="7" t="s">
        <v>781</v>
      </c>
      <c r="G415" s="3" t="s">
        <v>50</v>
      </c>
      <c r="H415" s="3"/>
      <c r="I415" s="3"/>
      <c r="J415" s="3"/>
      <c r="K415" s="3"/>
      <c r="L415" s="3"/>
      <c r="M415" s="3"/>
      <c r="N415" s="3"/>
      <c r="O415" s="3"/>
      <c r="P415" s="3"/>
      <c r="Q415" s="3"/>
    </row>
    <row r="416" spans="1:17" ht="60" customHeight="1" x14ac:dyDescent="0.25">
      <c r="A416" s="9">
        <f>IF(F416="","",ROW()-19-COUNTBLANK($F$20:F416))</f>
        <v>366</v>
      </c>
      <c r="B416" s="18"/>
      <c r="C416" s="19"/>
      <c r="D416" s="4" t="s">
        <v>782</v>
      </c>
      <c r="E416" s="7" t="s">
        <v>783</v>
      </c>
      <c r="F416" s="7" t="s">
        <v>784</v>
      </c>
      <c r="G416" s="3" t="s">
        <v>50</v>
      </c>
      <c r="H416" s="3"/>
      <c r="I416" s="3"/>
      <c r="J416" s="3"/>
      <c r="K416" s="3"/>
      <c r="L416" s="3"/>
      <c r="M416" s="3"/>
      <c r="N416" s="3"/>
      <c r="O416" s="3"/>
      <c r="P416" s="3"/>
      <c r="Q416" s="3"/>
    </row>
    <row r="417" spans="1:17" ht="60" customHeight="1" x14ac:dyDescent="0.25">
      <c r="A417" s="9">
        <f>IF(F417="","",ROW()-19-COUNTBLANK($F$20:F417))</f>
        <v>367</v>
      </c>
      <c r="B417" s="18"/>
      <c r="C417" s="4" t="s">
        <v>550</v>
      </c>
      <c r="D417" s="4" t="s">
        <v>551</v>
      </c>
      <c r="E417" s="7" t="s">
        <v>785</v>
      </c>
      <c r="F417" s="7" t="s">
        <v>553</v>
      </c>
      <c r="G417" s="3" t="s">
        <v>55</v>
      </c>
      <c r="H417" s="3"/>
      <c r="I417" s="3"/>
      <c r="J417" s="3"/>
      <c r="K417" s="3"/>
      <c r="L417" s="3"/>
      <c r="M417" s="3"/>
      <c r="N417" s="3"/>
      <c r="O417" s="3"/>
      <c r="P417" s="3"/>
      <c r="Q417" s="3"/>
    </row>
    <row r="418" spans="1:17" ht="60" customHeight="1" x14ac:dyDescent="0.25">
      <c r="A418" s="9">
        <f>IF(F418="","",ROW()-19-COUNTBLANK($F$20:F418))</f>
        <v>368</v>
      </c>
      <c r="B418" s="18"/>
      <c r="C418" s="4" t="s">
        <v>554</v>
      </c>
      <c r="D418" s="4" t="s">
        <v>555</v>
      </c>
      <c r="E418" s="7" t="s">
        <v>786</v>
      </c>
      <c r="F418" s="7" t="s">
        <v>557</v>
      </c>
      <c r="G418" s="3" t="s">
        <v>55</v>
      </c>
      <c r="H418" s="3"/>
      <c r="I418" s="3"/>
      <c r="J418" s="3"/>
      <c r="K418" s="3"/>
      <c r="L418" s="3"/>
      <c r="M418" s="3"/>
      <c r="N418" s="3"/>
      <c r="O418" s="3"/>
      <c r="P418" s="3"/>
      <c r="Q418" s="3"/>
    </row>
    <row r="419" spans="1:17" ht="60" customHeight="1" x14ac:dyDescent="0.25">
      <c r="A419" s="9">
        <f>IF(F419="","",ROW()-19-COUNTBLANK($F$20:F419))</f>
        <v>369</v>
      </c>
      <c r="B419" s="18"/>
      <c r="C419" s="17" t="s">
        <v>558</v>
      </c>
      <c r="D419" s="4" t="s">
        <v>787</v>
      </c>
      <c r="E419" s="7" t="s">
        <v>788</v>
      </c>
      <c r="F419" s="7" t="s">
        <v>561</v>
      </c>
      <c r="G419" s="3" t="s">
        <v>55</v>
      </c>
      <c r="H419" s="3"/>
      <c r="I419" s="3"/>
      <c r="J419" s="3"/>
      <c r="K419" s="3"/>
      <c r="L419" s="3"/>
      <c r="M419" s="3"/>
      <c r="N419" s="3"/>
      <c r="O419" s="3"/>
      <c r="P419" s="3"/>
      <c r="Q419" s="3"/>
    </row>
    <row r="420" spans="1:17" ht="60" customHeight="1" x14ac:dyDescent="0.25">
      <c r="A420" s="9">
        <f>IF(F420="","",ROW()-19-COUNTBLANK($F$20:F420))</f>
        <v>370</v>
      </c>
      <c r="B420" s="18"/>
      <c r="C420" s="18"/>
      <c r="D420" s="4" t="s">
        <v>562</v>
      </c>
      <c r="E420" s="7" t="s">
        <v>789</v>
      </c>
      <c r="F420" s="7" t="s">
        <v>564</v>
      </c>
      <c r="G420" s="3" t="s">
        <v>50</v>
      </c>
      <c r="H420" s="3"/>
      <c r="I420" s="3"/>
      <c r="J420" s="3"/>
      <c r="K420" s="3"/>
      <c r="L420" s="3"/>
      <c r="M420" s="3"/>
      <c r="N420" s="3"/>
      <c r="O420" s="3"/>
      <c r="P420" s="3"/>
      <c r="Q420" s="3"/>
    </row>
    <row r="421" spans="1:17" ht="60" customHeight="1" x14ac:dyDescent="0.25">
      <c r="A421" s="9">
        <f>IF(F421="","",ROW()-19-COUNTBLANK($F$20:F421))</f>
        <v>371</v>
      </c>
      <c r="B421" s="19"/>
      <c r="C421" s="19"/>
      <c r="D421" s="4" t="s">
        <v>565</v>
      </c>
      <c r="E421" s="7" t="s">
        <v>790</v>
      </c>
      <c r="F421" s="7" t="s">
        <v>567</v>
      </c>
      <c r="G421" s="3" t="s">
        <v>50</v>
      </c>
      <c r="H421" s="3"/>
      <c r="I421" s="3"/>
      <c r="J421" s="3"/>
      <c r="K421" s="3"/>
      <c r="L421" s="3"/>
      <c r="M421" s="3"/>
      <c r="N421" s="3"/>
      <c r="O421" s="3"/>
      <c r="P421" s="3"/>
      <c r="Q421" s="3"/>
    </row>
    <row r="422" spans="1:17" ht="20.100000000000001" customHeight="1" x14ac:dyDescent="0.25">
      <c r="A422" s="9" t="str">
        <f>IF(F422="","",ROW()-19-COUNTBLANK($F$20:F422))</f>
        <v/>
      </c>
      <c r="B422" s="12" t="s">
        <v>791</v>
      </c>
      <c r="C422" s="12"/>
      <c r="D422" s="12"/>
      <c r="E422" s="12"/>
      <c r="F422" s="12"/>
      <c r="G422" s="12"/>
      <c r="H422" s="12"/>
      <c r="I422" s="12"/>
      <c r="J422" s="12"/>
      <c r="K422" s="12"/>
      <c r="L422" s="12"/>
      <c r="M422" s="12"/>
      <c r="N422" s="12"/>
      <c r="O422" s="12"/>
      <c r="P422" s="12"/>
      <c r="Q422" s="12"/>
    </row>
    <row r="423" spans="1:17" ht="60" customHeight="1" x14ac:dyDescent="0.25">
      <c r="A423" s="9">
        <f>IF(F423="","",ROW()-19-COUNTBLANK($F$20:F423))</f>
        <v>372</v>
      </c>
      <c r="B423" s="4" t="s">
        <v>216</v>
      </c>
      <c r="C423" s="4" t="s">
        <v>792</v>
      </c>
      <c r="D423" s="4"/>
      <c r="E423" s="7" t="s">
        <v>793</v>
      </c>
      <c r="F423" s="7" t="s">
        <v>794</v>
      </c>
      <c r="G423" s="3" t="s">
        <v>55</v>
      </c>
      <c r="H423" s="3"/>
      <c r="I423" s="3"/>
      <c r="J423" s="3"/>
      <c r="K423" s="3"/>
      <c r="L423" s="3"/>
      <c r="M423" s="3"/>
      <c r="N423" s="3"/>
      <c r="O423" s="3"/>
      <c r="P423" s="3"/>
      <c r="Q423" s="3"/>
    </row>
    <row r="424" spans="1:17" ht="60" customHeight="1" x14ac:dyDescent="0.25">
      <c r="A424" s="9">
        <f>IF(F424="","",ROW()-19-COUNTBLANK($F$20:F424))</f>
        <v>373</v>
      </c>
      <c r="B424" s="4" t="s">
        <v>795</v>
      </c>
      <c r="C424" s="4" t="s">
        <v>796</v>
      </c>
      <c r="D424" s="4"/>
      <c r="E424" s="7" t="s">
        <v>797</v>
      </c>
      <c r="F424" s="7" t="s">
        <v>798</v>
      </c>
      <c r="G424" s="3" t="s">
        <v>55</v>
      </c>
      <c r="H424" s="3"/>
      <c r="I424" s="3"/>
      <c r="J424" s="3"/>
      <c r="K424" s="3"/>
      <c r="L424" s="3"/>
      <c r="M424" s="3"/>
      <c r="N424" s="3"/>
      <c r="O424" s="3"/>
      <c r="P424" s="3"/>
      <c r="Q424" s="3"/>
    </row>
    <row r="425" spans="1:17" ht="60" customHeight="1" x14ac:dyDescent="0.25">
      <c r="A425" s="9">
        <f>IF(F425="","",ROW()-19-COUNTBLANK($F$20:F425))</f>
        <v>374</v>
      </c>
      <c r="B425" s="4" t="s">
        <v>799</v>
      </c>
      <c r="C425" s="4" t="s">
        <v>800</v>
      </c>
      <c r="D425" s="4" t="s">
        <v>801</v>
      </c>
      <c r="E425" s="7" t="s">
        <v>802</v>
      </c>
      <c r="F425" s="7" t="s">
        <v>803</v>
      </c>
      <c r="G425" s="3" t="s">
        <v>55</v>
      </c>
      <c r="H425" s="3"/>
      <c r="I425" s="3"/>
      <c r="J425" s="3"/>
      <c r="K425" s="3"/>
      <c r="L425" s="3"/>
      <c r="M425" s="3"/>
      <c r="N425" s="3"/>
      <c r="O425" s="3"/>
      <c r="P425" s="3"/>
      <c r="Q425" s="3"/>
    </row>
    <row r="426" spans="1:17" ht="60" customHeight="1" x14ac:dyDescent="0.25">
      <c r="A426" s="9">
        <f>IF(F426="","",ROW()-19-COUNTBLANK($F$20:F426))</f>
        <v>375</v>
      </c>
      <c r="B426" s="4" t="s">
        <v>804</v>
      </c>
      <c r="C426" s="4" t="s">
        <v>805</v>
      </c>
      <c r="D426" s="4" t="s">
        <v>806</v>
      </c>
      <c r="E426" s="7" t="s">
        <v>807</v>
      </c>
      <c r="F426" s="7" t="s">
        <v>808</v>
      </c>
      <c r="G426" s="3" t="s">
        <v>50</v>
      </c>
      <c r="H426" s="3"/>
      <c r="I426" s="3"/>
      <c r="J426" s="3"/>
      <c r="K426" s="3"/>
      <c r="L426" s="3"/>
      <c r="M426" s="3"/>
      <c r="N426" s="3"/>
      <c r="O426" s="3"/>
      <c r="P426" s="3"/>
      <c r="Q426" s="3"/>
    </row>
    <row r="427" spans="1:17" ht="60" customHeight="1" x14ac:dyDescent="0.25">
      <c r="A427" s="9">
        <f>IF(F427="","",ROW()-19-COUNTBLANK($F$20:F427))</f>
        <v>376</v>
      </c>
      <c r="B427" s="4" t="s">
        <v>809</v>
      </c>
      <c r="C427" s="4" t="s">
        <v>810</v>
      </c>
      <c r="D427" s="4" t="s">
        <v>806</v>
      </c>
      <c r="E427" s="7" t="s">
        <v>811</v>
      </c>
      <c r="F427" s="7" t="s">
        <v>812</v>
      </c>
      <c r="G427" s="3" t="s">
        <v>55</v>
      </c>
      <c r="H427" s="3"/>
      <c r="I427" s="3"/>
      <c r="J427" s="3"/>
      <c r="K427" s="3"/>
      <c r="L427" s="3"/>
      <c r="M427" s="3"/>
      <c r="N427" s="3"/>
      <c r="O427" s="3"/>
      <c r="P427" s="3"/>
      <c r="Q427" s="3"/>
    </row>
    <row r="428" spans="1:17" ht="60" customHeight="1" x14ac:dyDescent="0.25">
      <c r="A428" s="9">
        <f>IF(F428="","",ROW()-19-COUNTBLANK($F$20:F428))</f>
        <v>377</v>
      </c>
      <c r="B428" s="4" t="s">
        <v>813</v>
      </c>
      <c r="C428" s="4" t="s">
        <v>814</v>
      </c>
      <c r="D428" s="4"/>
      <c r="E428" s="7" t="s">
        <v>815</v>
      </c>
      <c r="F428" s="7" t="s">
        <v>816</v>
      </c>
      <c r="G428" s="3" t="s">
        <v>55</v>
      </c>
      <c r="H428" s="3"/>
      <c r="I428" s="3"/>
      <c r="J428" s="3"/>
      <c r="K428" s="3"/>
      <c r="L428" s="3"/>
      <c r="M428" s="3"/>
      <c r="N428" s="3"/>
      <c r="O428" s="3"/>
      <c r="P428" s="3"/>
      <c r="Q428" s="3"/>
    </row>
    <row r="429" spans="1:17" ht="60" customHeight="1" x14ac:dyDescent="0.25">
      <c r="A429" s="9">
        <f>IF(F429="","",ROW()-19-COUNTBLANK($F$20:F429))</f>
        <v>378</v>
      </c>
      <c r="B429" s="4" t="s">
        <v>817</v>
      </c>
      <c r="C429" s="4" t="s">
        <v>818</v>
      </c>
      <c r="D429" s="4"/>
      <c r="E429" s="7" t="s">
        <v>819</v>
      </c>
      <c r="F429" s="7" t="s">
        <v>820</v>
      </c>
      <c r="G429" s="3" t="s">
        <v>55</v>
      </c>
      <c r="H429" s="3"/>
      <c r="I429" s="3"/>
      <c r="J429" s="3"/>
      <c r="K429" s="3"/>
      <c r="L429" s="3"/>
      <c r="M429" s="3"/>
      <c r="N429" s="3"/>
      <c r="O429" s="3"/>
      <c r="P429" s="3"/>
      <c r="Q429" s="3"/>
    </row>
    <row r="430" spans="1:17" ht="60" customHeight="1" x14ac:dyDescent="0.25">
      <c r="A430" s="9">
        <f>IF(F430="","",ROW()-19-COUNTBLANK($F$20:F430))</f>
        <v>379</v>
      </c>
      <c r="B430" s="4" t="s">
        <v>821</v>
      </c>
      <c r="C430" s="4" t="s">
        <v>822</v>
      </c>
      <c r="D430" s="4"/>
      <c r="E430" s="7" t="s">
        <v>823</v>
      </c>
      <c r="F430" s="7" t="s">
        <v>824</v>
      </c>
      <c r="G430" s="3" t="s">
        <v>55</v>
      </c>
      <c r="H430" s="3"/>
      <c r="I430" s="3"/>
      <c r="J430" s="3"/>
      <c r="K430" s="3"/>
      <c r="L430" s="3"/>
      <c r="M430" s="3"/>
      <c r="N430" s="3"/>
      <c r="O430" s="3"/>
      <c r="P430" s="3"/>
      <c r="Q430" s="3"/>
    </row>
    <row r="431" spans="1:17" ht="60" customHeight="1" x14ac:dyDescent="0.25">
      <c r="A431" s="9">
        <f>IF(F431="","",ROW()-19-COUNTBLANK($F$20:F431))</f>
        <v>380</v>
      </c>
      <c r="B431" s="4" t="s">
        <v>825</v>
      </c>
      <c r="C431" s="4" t="s">
        <v>826</v>
      </c>
      <c r="D431" s="4" t="s">
        <v>827</v>
      </c>
      <c r="E431" s="7" t="s">
        <v>828</v>
      </c>
      <c r="F431" s="7" t="s">
        <v>829</v>
      </c>
      <c r="G431" s="3" t="s">
        <v>55</v>
      </c>
      <c r="H431" s="3"/>
      <c r="I431" s="3"/>
      <c r="J431" s="3"/>
      <c r="K431" s="3"/>
      <c r="L431" s="3"/>
      <c r="M431" s="3"/>
      <c r="N431" s="3"/>
      <c r="O431" s="3"/>
      <c r="P431" s="3"/>
      <c r="Q431" s="3"/>
    </row>
    <row r="432" spans="1:17" ht="60" customHeight="1" x14ac:dyDescent="0.25">
      <c r="A432" s="9">
        <f>IF(F432="","",ROW()-19-COUNTBLANK($F$20:F432))</f>
        <v>381</v>
      </c>
      <c r="B432" s="4" t="s">
        <v>830</v>
      </c>
      <c r="C432" s="4" t="s">
        <v>502</v>
      </c>
      <c r="D432" s="4"/>
      <c r="E432" s="7" t="s">
        <v>831</v>
      </c>
      <c r="F432" s="7" t="s">
        <v>832</v>
      </c>
      <c r="G432" s="3" t="s">
        <v>55</v>
      </c>
      <c r="H432" s="3"/>
      <c r="I432" s="3"/>
      <c r="J432" s="3"/>
      <c r="K432" s="3"/>
      <c r="L432" s="3"/>
      <c r="M432" s="3"/>
      <c r="N432" s="3"/>
      <c r="O432" s="3"/>
      <c r="P432" s="3"/>
      <c r="Q432" s="3"/>
    </row>
    <row r="433" spans="1:17" ht="60" customHeight="1" x14ac:dyDescent="0.25">
      <c r="A433" s="9">
        <f>IF(F433="","",ROW()-19-COUNTBLANK($F$20:F433))</f>
        <v>382</v>
      </c>
      <c r="B433" s="4" t="s">
        <v>833</v>
      </c>
      <c r="C433" s="4" t="s">
        <v>834</v>
      </c>
      <c r="D433" s="4" t="s">
        <v>835</v>
      </c>
      <c r="E433" s="7" t="s">
        <v>836</v>
      </c>
      <c r="F433" s="7" t="s">
        <v>837</v>
      </c>
      <c r="G433" s="3" t="s">
        <v>55</v>
      </c>
      <c r="H433" s="3"/>
      <c r="I433" s="3"/>
      <c r="J433" s="3"/>
      <c r="K433" s="3"/>
      <c r="L433" s="3"/>
      <c r="M433" s="3"/>
      <c r="N433" s="3"/>
      <c r="O433" s="3"/>
      <c r="P433" s="3"/>
      <c r="Q433" s="3"/>
    </row>
    <row r="434" spans="1:17" ht="60" customHeight="1" x14ac:dyDescent="0.25">
      <c r="A434" s="9">
        <f>IF(F434="","",ROW()-19-COUNTBLANK($F$20:F434))</f>
        <v>383</v>
      </c>
      <c r="B434" s="4" t="s">
        <v>838</v>
      </c>
      <c r="C434" s="4" t="s">
        <v>839</v>
      </c>
      <c r="D434" s="4" t="s">
        <v>840</v>
      </c>
      <c r="E434" s="7" t="s">
        <v>841</v>
      </c>
      <c r="F434" s="7" t="s">
        <v>842</v>
      </c>
      <c r="G434" s="3" t="s">
        <v>55</v>
      </c>
      <c r="H434" s="3"/>
      <c r="I434" s="3"/>
      <c r="J434" s="3"/>
      <c r="K434" s="3"/>
      <c r="L434" s="3"/>
      <c r="M434" s="3"/>
      <c r="N434" s="3"/>
      <c r="O434" s="3"/>
      <c r="P434" s="3"/>
      <c r="Q434" s="3"/>
    </row>
    <row r="435" spans="1:17" ht="60" customHeight="1" x14ac:dyDescent="0.25">
      <c r="A435" s="9">
        <f>IF(F435="","",ROW()-19-COUNTBLANK($F$20:F435))</f>
        <v>384</v>
      </c>
      <c r="B435" s="4" t="s">
        <v>843</v>
      </c>
      <c r="C435" s="4" t="s">
        <v>844</v>
      </c>
      <c r="D435" s="4" t="s">
        <v>845</v>
      </c>
      <c r="E435" s="7" t="s">
        <v>846</v>
      </c>
      <c r="F435" s="7" t="s">
        <v>847</v>
      </c>
      <c r="G435" s="3" t="s">
        <v>55</v>
      </c>
      <c r="H435" s="3"/>
      <c r="I435" s="3"/>
      <c r="J435" s="3"/>
      <c r="K435" s="3"/>
      <c r="L435" s="3"/>
      <c r="M435" s="3"/>
      <c r="N435" s="3"/>
      <c r="O435" s="3"/>
      <c r="P435" s="3"/>
      <c r="Q435" s="3"/>
    </row>
    <row r="436" spans="1:17" ht="60" customHeight="1" x14ac:dyDescent="0.25">
      <c r="A436" s="9">
        <f>IF(F436="","",ROW()-19-COUNTBLANK($F$20:F436))</f>
        <v>385</v>
      </c>
      <c r="B436" s="4" t="s">
        <v>848</v>
      </c>
      <c r="C436" s="4" t="s">
        <v>849</v>
      </c>
      <c r="D436" s="4" t="s">
        <v>850</v>
      </c>
      <c r="E436" s="7" t="s">
        <v>846</v>
      </c>
      <c r="F436" s="7" t="s">
        <v>851</v>
      </c>
      <c r="G436" s="3" t="s">
        <v>55</v>
      </c>
      <c r="H436" s="3"/>
      <c r="I436" s="3"/>
      <c r="J436" s="3"/>
      <c r="K436" s="3"/>
      <c r="L436" s="3"/>
      <c r="M436" s="3"/>
      <c r="N436" s="3"/>
      <c r="O436" s="3"/>
      <c r="P436" s="3"/>
      <c r="Q436" s="3"/>
    </row>
    <row r="437" spans="1:17" ht="60" customHeight="1" x14ac:dyDescent="0.25">
      <c r="A437" s="9">
        <f>IF(F437="","",ROW()-19-COUNTBLANK($F$20:F437))</f>
        <v>386</v>
      </c>
      <c r="B437" s="4" t="s">
        <v>852</v>
      </c>
      <c r="C437" s="4" t="s">
        <v>853</v>
      </c>
      <c r="D437" s="4" t="s">
        <v>854</v>
      </c>
      <c r="E437" s="7" t="s">
        <v>846</v>
      </c>
      <c r="F437" s="7" t="s">
        <v>855</v>
      </c>
      <c r="G437" s="3" t="s">
        <v>55</v>
      </c>
      <c r="H437" s="3"/>
      <c r="I437" s="3"/>
      <c r="J437" s="3"/>
      <c r="K437" s="3"/>
      <c r="L437" s="3"/>
      <c r="M437" s="3"/>
      <c r="N437" s="3"/>
      <c r="O437" s="3"/>
      <c r="P437" s="3"/>
      <c r="Q437" s="3"/>
    </row>
    <row r="438" spans="1:17" ht="60" customHeight="1" x14ac:dyDescent="0.25">
      <c r="A438" s="9">
        <f>IF(F438="","",ROW()-19-COUNTBLANK($F$20:F438))</f>
        <v>387</v>
      </c>
      <c r="B438" s="4" t="s">
        <v>856</v>
      </c>
      <c r="C438" s="4" t="s">
        <v>857</v>
      </c>
      <c r="D438" s="4" t="s">
        <v>858</v>
      </c>
      <c r="E438" s="7" t="s">
        <v>859</v>
      </c>
      <c r="F438" s="7" t="s">
        <v>860</v>
      </c>
      <c r="G438" s="3" t="s">
        <v>50</v>
      </c>
      <c r="H438" s="3"/>
      <c r="I438" s="3"/>
      <c r="J438" s="3"/>
      <c r="K438" s="3"/>
      <c r="L438" s="3"/>
      <c r="M438" s="3"/>
      <c r="N438" s="3"/>
      <c r="O438" s="3"/>
      <c r="P438" s="3"/>
      <c r="Q438" s="3"/>
    </row>
    <row r="439" spans="1:17" ht="60" customHeight="1" x14ac:dyDescent="0.25">
      <c r="A439" s="9">
        <f>IF(F439="","",ROW()-19-COUNTBLANK($F$20:F439))</f>
        <v>388</v>
      </c>
      <c r="B439" s="4" t="s">
        <v>861</v>
      </c>
      <c r="C439" s="4" t="s">
        <v>862</v>
      </c>
      <c r="D439" s="4" t="s">
        <v>863</v>
      </c>
      <c r="E439" s="7" t="s">
        <v>859</v>
      </c>
      <c r="F439" s="7" t="s">
        <v>864</v>
      </c>
      <c r="G439" s="3" t="s">
        <v>50</v>
      </c>
      <c r="H439" s="3"/>
      <c r="I439" s="3"/>
      <c r="J439" s="3"/>
      <c r="K439" s="3"/>
      <c r="L439" s="3"/>
      <c r="M439" s="3"/>
      <c r="N439" s="3"/>
      <c r="O439" s="3"/>
      <c r="P439" s="3"/>
      <c r="Q439" s="3"/>
    </row>
    <row r="440" spans="1:17" ht="60" customHeight="1" x14ac:dyDescent="0.25">
      <c r="A440" s="9">
        <f>IF(F440="","",ROW()-19-COUNTBLANK($F$20:F440))</f>
        <v>389</v>
      </c>
      <c r="B440" s="4" t="s">
        <v>865</v>
      </c>
      <c r="C440" s="4" t="s">
        <v>866</v>
      </c>
      <c r="D440" s="4" t="s">
        <v>867</v>
      </c>
      <c r="E440" s="7" t="s">
        <v>859</v>
      </c>
      <c r="F440" s="7" t="s">
        <v>868</v>
      </c>
      <c r="G440" s="3" t="s">
        <v>55</v>
      </c>
      <c r="H440" s="3"/>
      <c r="I440" s="3"/>
      <c r="J440" s="3"/>
      <c r="K440" s="3"/>
      <c r="L440" s="3"/>
      <c r="M440" s="3"/>
      <c r="N440" s="3"/>
      <c r="O440" s="3"/>
      <c r="P440" s="3"/>
      <c r="Q440" s="3"/>
    </row>
    <row r="441" spans="1:17" ht="60" customHeight="1" x14ac:dyDescent="0.25">
      <c r="A441" s="9">
        <f>IF(F441="","",ROW()-19-COUNTBLANK($F$20:F441))</f>
        <v>390</v>
      </c>
      <c r="B441" s="4" t="s">
        <v>869</v>
      </c>
      <c r="C441" s="4" t="s">
        <v>870</v>
      </c>
      <c r="D441" s="4" t="s">
        <v>871</v>
      </c>
      <c r="E441" s="7" t="s">
        <v>872</v>
      </c>
      <c r="F441" s="7" t="s">
        <v>873</v>
      </c>
      <c r="G441" s="3" t="s">
        <v>55</v>
      </c>
      <c r="H441" s="3"/>
      <c r="I441" s="3"/>
      <c r="J441" s="3"/>
      <c r="K441" s="3"/>
      <c r="L441" s="3"/>
      <c r="M441" s="3"/>
      <c r="N441" s="3"/>
      <c r="O441" s="3"/>
      <c r="P441" s="3"/>
      <c r="Q441" s="3"/>
    </row>
    <row r="442" spans="1:17" ht="20.100000000000001" customHeight="1" x14ac:dyDescent="0.25">
      <c r="A442" s="9" t="str">
        <f>IF(F442="","",ROW()-19-COUNTBLANK($F$20:F442))</f>
        <v/>
      </c>
      <c r="B442" s="12" t="s">
        <v>874</v>
      </c>
      <c r="C442" s="12"/>
      <c r="D442" s="12"/>
      <c r="E442" s="12"/>
      <c r="F442" s="12"/>
      <c r="G442" s="12"/>
      <c r="H442" s="12"/>
      <c r="I442" s="12"/>
      <c r="J442" s="12"/>
      <c r="K442" s="12"/>
      <c r="L442" s="12"/>
      <c r="M442" s="12"/>
      <c r="N442" s="12"/>
      <c r="O442" s="12"/>
      <c r="P442" s="12"/>
      <c r="Q442" s="12"/>
    </row>
    <row r="443" spans="1:17" ht="60" customHeight="1" x14ac:dyDescent="0.25">
      <c r="A443" s="9">
        <f>IF(F443="","",ROW()-19-COUNTBLANK($F$20:F443))</f>
        <v>391</v>
      </c>
      <c r="B443" s="4" t="s">
        <v>216</v>
      </c>
      <c r="C443" s="4" t="s">
        <v>875</v>
      </c>
      <c r="D443" s="4"/>
      <c r="E443" s="7" t="s">
        <v>876</v>
      </c>
      <c r="F443" s="7" t="s">
        <v>794</v>
      </c>
      <c r="G443" s="3" t="s">
        <v>55</v>
      </c>
      <c r="H443" s="3"/>
      <c r="I443" s="3"/>
      <c r="J443" s="3"/>
      <c r="K443" s="3"/>
      <c r="L443" s="3"/>
      <c r="M443" s="3"/>
      <c r="N443" s="3"/>
      <c r="O443" s="3"/>
      <c r="P443" s="3"/>
      <c r="Q443" s="3"/>
    </row>
    <row r="444" spans="1:17" ht="60" customHeight="1" x14ac:dyDescent="0.25">
      <c r="A444" s="9">
        <f>IF(F444="","",ROW()-19-COUNTBLANK($F$20:F444))</f>
        <v>392</v>
      </c>
      <c r="B444" s="4" t="s">
        <v>795</v>
      </c>
      <c r="C444" s="4" t="s">
        <v>796</v>
      </c>
      <c r="D444" s="4"/>
      <c r="E444" s="7" t="s">
        <v>877</v>
      </c>
      <c r="F444" s="7" t="s">
        <v>798</v>
      </c>
      <c r="G444" s="3" t="s">
        <v>55</v>
      </c>
      <c r="H444" s="3"/>
      <c r="I444" s="3"/>
      <c r="J444" s="3"/>
      <c r="K444" s="3"/>
      <c r="L444" s="3"/>
      <c r="M444" s="3"/>
      <c r="N444" s="3"/>
      <c r="O444" s="3"/>
      <c r="P444" s="3"/>
      <c r="Q444" s="3"/>
    </row>
    <row r="445" spans="1:17" ht="60" customHeight="1" x14ac:dyDescent="0.25">
      <c r="A445" s="9">
        <f>IF(F445="","",ROW()-19-COUNTBLANK($F$20:F445))</f>
        <v>393</v>
      </c>
      <c r="B445" s="4" t="s">
        <v>799</v>
      </c>
      <c r="C445" s="4" t="s">
        <v>800</v>
      </c>
      <c r="D445" s="4" t="s">
        <v>801</v>
      </c>
      <c r="E445" s="7" t="s">
        <v>802</v>
      </c>
      <c r="F445" s="7" t="s">
        <v>803</v>
      </c>
      <c r="G445" s="3" t="s">
        <v>55</v>
      </c>
      <c r="H445" s="3"/>
      <c r="I445" s="3"/>
      <c r="J445" s="3"/>
      <c r="K445" s="3"/>
      <c r="L445" s="3"/>
      <c r="M445" s="3"/>
      <c r="N445" s="3"/>
      <c r="O445" s="3"/>
      <c r="P445" s="3"/>
      <c r="Q445" s="3"/>
    </row>
    <row r="446" spans="1:17" ht="60" customHeight="1" x14ac:dyDescent="0.25">
      <c r="A446" s="9">
        <f>IF(F446="","",ROW()-19-COUNTBLANK($F$20:F446))</f>
        <v>394</v>
      </c>
      <c r="B446" s="4" t="s">
        <v>804</v>
      </c>
      <c r="C446" s="4" t="s">
        <v>805</v>
      </c>
      <c r="D446" s="4" t="s">
        <v>806</v>
      </c>
      <c r="E446" s="7" t="s">
        <v>807</v>
      </c>
      <c r="F446" s="7" t="s">
        <v>808</v>
      </c>
      <c r="G446" s="3" t="s">
        <v>50</v>
      </c>
      <c r="H446" s="3"/>
      <c r="I446" s="3"/>
      <c r="J446" s="3"/>
      <c r="K446" s="3"/>
      <c r="L446" s="3"/>
      <c r="M446" s="3"/>
      <c r="N446" s="3"/>
      <c r="O446" s="3"/>
      <c r="P446" s="3"/>
      <c r="Q446" s="3"/>
    </row>
    <row r="447" spans="1:17" ht="60" customHeight="1" x14ac:dyDescent="0.25">
      <c r="A447" s="9">
        <f>IF(F447="","",ROW()-19-COUNTBLANK($F$20:F447))</f>
        <v>395</v>
      </c>
      <c r="B447" s="4" t="s">
        <v>809</v>
      </c>
      <c r="C447" s="4" t="s">
        <v>810</v>
      </c>
      <c r="D447" s="4" t="s">
        <v>806</v>
      </c>
      <c r="E447" s="7" t="s">
        <v>811</v>
      </c>
      <c r="F447" s="7" t="s">
        <v>812</v>
      </c>
      <c r="G447" s="3" t="s">
        <v>55</v>
      </c>
      <c r="H447" s="3"/>
      <c r="I447" s="3"/>
      <c r="J447" s="3"/>
      <c r="K447" s="3"/>
      <c r="L447" s="3"/>
      <c r="M447" s="3"/>
      <c r="N447" s="3"/>
      <c r="O447" s="3"/>
      <c r="P447" s="3"/>
      <c r="Q447" s="3"/>
    </row>
    <row r="448" spans="1:17" ht="60" customHeight="1" x14ac:dyDescent="0.25">
      <c r="A448" s="9">
        <f>IF(F448="","",ROW()-19-COUNTBLANK($F$20:F448))</f>
        <v>396</v>
      </c>
      <c r="B448" s="4" t="s">
        <v>813</v>
      </c>
      <c r="C448" s="4" t="s">
        <v>814</v>
      </c>
      <c r="D448" s="4"/>
      <c r="E448" s="7" t="s">
        <v>878</v>
      </c>
      <c r="F448" s="7" t="s">
        <v>816</v>
      </c>
      <c r="G448" s="3" t="s">
        <v>55</v>
      </c>
      <c r="H448" s="3"/>
      <c r="I448" s="3"/>
      <c r="J448" s="3"/>
      <c r="K448" s="3"/>
      <c r="L448" s="3"/>
      <c r="M448" s="3"/>
      <c r="N448" s="3"/>
      <c r="O448" s="3"/>
      <c r="P448" s="3"/>
      <c r="Q448" s="3"/>
    </row>
    <row r="449" spans="1:17" ht="60" customHeight="1" x14ac:dyDescent="0.25">
      <c r="A449" s="9">
        <f>IF(F449="","",ROW()-19-COUNTBLANK($F$20:F449))</f>
        <v>397</v>
      </c>
      <c r="B449" s="4" t="s">
        <v>817</v>
      </c>
      <c r="C449" s="4" t="s">
        <v>818</v>
      </c>
      <c r="D449" s="4"/>
      <c r="E449" s="7" t="s">
        <v>879</v>
      </c>
      <c r="F449" s="7" t="s">
        <v>820</v>
      </c>
      <c r="G449" s="3" t="s">
        <v>55</v>
      </c>
      <c r="H449" s="3"/>
      <c r="I449" s="3"/>
      <c r="J449" s="3"/>
      <c r="K449" s="3"/>
      <c r="L449" s="3"/>
      <c r="M449" s="3"/>
      <c r="N449" s="3"/>
      <c r="O449" s="3"/>
      <c r="P449" s="3"/>
      <c r="Q449" s="3"/>
    </row>
    <row r="450" spans="1:17" ht="60" customHeight="1" x14ac:dyDescent="0.25">
      <c r="A450" s="9">
        <f>IF(F450="","",ROW()-19-COUNTBLANK($F$20:F450))</f>
        <v>398</v>
      </c>
      <c r="B450" s="4" t="s">
        <v>821</v>
      </c>
      <c r="C450" s="4" t="s">
        <v>822</v>
      </c>
      <c r="D450" s="4"/>
      <c r="E450" s="7" t="s">
        <v>880</v>
      </c>
      <c r="F450" s="7" t="s">
        <v>824</v>
      </c>
      <c r="G450" s="3" t="s">
        <v>55</v>
      </c>
      <c r="H450" s="3"/>
      <c r="I450" s="3"/>
      <c r="J450" s="3"/>
      <c r="K450" s="3"/>
      <c r="L450" s="3"/>
      <c r="M450" s="3"/>
      <c r="N450" s="3"/>
      <c r="O450" s="3"/>
      <c r="P450" s="3"/>
      <c r="Q450" s="3"/>
    </row>
    <row r="451" spans="1:17" ht="60" customHeight="1" x14ac:dyDescent="0.25">
      <c r="A451" s="9">
        <f>IF(F451="","",ROW()-19-COUNTBLANK($F$20:F451))</f>
        <v>399</v>
      </c>
      <c r="B451" s="4" t="s">
        <v>825</v>
      </c>
      <c r="C451" s="4" t="s">
        <v>826</v>
      </c>
      <c r="D451" s="4" t="s">
        <v>827</v>
      </c>
      <c r="E451" s="7" t="s">
        <v>828</v>
      </c>
      <c r="F451" s="7" t="s">
        <v>829</v>
      </c>
      <c r="G451" s="3" t="s">
        <v>55</v>
      </c>
      <c r="H451" s="3"/>
      <c r="I451" s="3"/>
      <c r="J451" s="3"/>
      <c r="K451" s="3"/>
      <c r="L451" s="3"/>
      <c r="M451" s="3"/>
      <c r="N451" s="3"/>
      <c r="O451" s="3"/>
      <c r="P451" s="3"/>
      <c r="Q451" s="3"/>
    </row>
    <row r="452" spans="1:17" ht="60" customHeight="1" x14ac:dyDescent="0.25">
      <c r="A452" s="9">
        <f>IF(F452="","",ROW()-19-COUNTBLANK($F$20:F452))</f>
        <v>400</v>
      </c>
      <c r="B452" s="4" t="s">
        <v>830</v>
      </c>
      <c r="C452" s="4" t="s">
        <v>502</v>
      </c>
      <c r="D452" s="4"/>
      <c r="E452" s="7" t="s">
        <v>831</v>
      </c>
      <c r="F452" s="7" t="s">
        <v>832</v>
      </c>
      <c r="G452" s="3" t="s">
        <v>55</v>
      </c>
      <c r="H452" s="3"/>
      <c r="I452" s="3"/>
      <c r="J452" s="3"/>
      <c r="K452" s="3"/>
      <c r="L452" s="3"/>
      <c r="M452" s="3"/>
      <c r="N452" s="3"/>
      <c r="O452" s="3"/>
      <c r="P452" s="3"/>
      <c r="Q452" s="3"/>
    </row>
    <row r="453" spans="1:17" ht="60" customHeight="1" x14ac:dyDescent="0.25">
      <c r="A453" s="9">
        <f>IF(F453="","",ROW()-19-COUNTBLANK($F$20:F453))</f>
        <v>401</v>
      </c>
      <c r="B453" s="4" t="s">
        <v>833</v>
      </c>
      <c r="C453" s="4" t="s">
        <v>834</v>
      </c>
      <c r="D453" s="4" t="s">
        <v>835</v>
      </c>
      <c r="E453" s="7" t="s">
        <v>836</v>
      </c>
      <c r="F453" s="7" t="s">
        <v>837</v>
      </c>
      <c r="G453" s="3" t="s">
        <v>55</v>
      </c>
      <c r="H453" s="3"/>
      <c r="I453" s="3"/>
      <c r="J453" s="3"/>
      <c r="K453" s="3"/>
      <c r="L453" s="3"/>
      <c r="M453" s="3"/>
      <c r="N453" s="3"/>
      <c r="O453" s="3"/>
      <c r="P453" s="3"/>
      <c r="Q453" s="3"/>
    </row>
    <row r="454" spans="1:17" ht="60" customHeight="1" x14ac:dyDescent="0.25">
      <c r="A454" s="9">
        <f>IF(F454="","",ROW()-19-COUNTBLANK($F$20:F454))</f>
        <v>402</v>
      </c>
      <c r="B454" s="4" t="s">
        <v>838</v>
      </c>
      <c r="C454" s="4" t="s">
        <v>839</v>
      </c>
      <c r="D454" s="4" t="s">
        <v>840</v>
      </c>
      <c r="E454" s="7" t="s">
        <v>841</v>
      </c>
      <c r="F454" s="7" t="s">
        <v>842</v>
      </c>
      <c r="G454" s="3" t="s">
        <v>55</v>
      </c>
      <c r="H454" s="3"/>
      <c r="I454" s="3"/>
      <c r="J454" s="3"/>
      <c r="K454" s="3"/>
      <c r="L454" s="3"/>
      <c r="M454" s="3"/>
      <c r="N454" s="3"/>
      <c r="O454" s="3"/>
      <c r="P454" s="3"/>
      <c r="Q454" s="3"/>
    </row>
    <row r="455" spans="1:17" ht="60" customHeight="1" x14ac:dyDescent="0.25">
      <c r="A455" s="9">
        <f>IF(F455="","",ROW()-19-COUNTBLANK($F$20:F455))</f>
        <v>403</v>
      </c>
      <c r="B455" s="4" t="s">
        <v>843</v>
      </c>
      <c r="C455" s="4" t="s">
        <v>844</v>
      </c>
      <c r="D455" s="4" t="s">
        <v>845</v>
      </c>
      <c r="E455" s="7" t="s">
        <v>846</v>
      </c>
      <c r="F455" s="7" t="s">
        <v>847</v>
      </c>
      <c r="G455" s="3" t="s">
        <v>55</v>
      </c>
      <c r="H455" s="3"/>
      <c r="I455" s="3"/>
      <c r="J455" s="3"/>
      <c r="K455" s="3"/>
      <c r="L455" s="3"/>
      <c r="M455" s="3"/>
      <c r="N455" s="3"/>
      <c r="O455" s="3"/>
      <c r="P455" s="3"/>
      <c r="Q455" s="3"/>
    </row>
    <row r="456" spans="1:17" ht="60" customHeight="1" x14ac:dyDescent="0.25">
      <c r="A456" s="9">
        <f>IF(F456="","",ROW()-19-COUNTBLANK($F$20:F456))</f>
        <v>404</v>
      </c>
      <c r="B456" s="4" t="s">
        <v>848</v>
      </c>
      <c r="C456" s="4" t="s">
        <v>849</v>
      </c>
      <c r="D456" s="4" t="s">
        <v>850</v>
      </c>
      <c r="E456" s="7" t="s">
        <v>846</v>
      </c>
      <c r="F456" s="7" t="s">
        <v>851</v>
      </c>
      <c r="G456" s="3" t="s">
        <v>55</v>
      </c>
      <c r="H456" s="3"/>
      <c r="I456" s="3"/>
      <c r="J456" s="3"/>
      <c r="K456" s="3"/>
      <c r="L456" s="3"/>
      <c r="M456" s="3"/>
      <c r="N456" s="3"/>
      <c r="O456" s="3"/>
      <c r="P456" s="3"/>
      <c r="Q456" s="3"/>
    </row>
    <row r="457" spans="1:17" ht="60" customHeight="1" x14ac:dyDescent="0.25">
      <c r="A457" s="9">
        <f>IF(F457="","",ROW()-19-COUNTBLANK($F$20:F457))</f>
        <v>405</v>
      </c>
      <c r="B457" s="4" t="s">
        <v>852</v>
      </c>
      <c r="C457" s="4" t="s">
        <v>853</v>
      </c>
      <c r="D457" s="4" t="s">
        <v>854</v>
      </c>
      <c r="E457" s="7" t="s">
        <v>846</v>
      </c>
      <c r="F457" s="7" t="s">
        <v>855</v>
      </c>
      <c r="G457" s="3" t="s">
        <v>55</v>
      </c>
      <c r="H457" s="3"/>
      <c r="I457" s="3"/>
      <c r="J457" s="3"/>
      <c r="K457" s="3"/>
      <c r="L457" s="3"/>
      <c r="M457" s="3"/>
      <c r="N457" s="3"/>
      <c r="O457" s="3"/>
      <c r="P457" s="3"/>
      <c r="Q457" s="3"/>
    </row>
    <row r="458" spans="1:17" ht="60" customHeight="1" x14ac:dyDescent="0.25">
      <c r="A458" s="9">
        <f>IF(F458="","",ROW()-19-COUNTBLANK($F$20:F458))</f>
        <v>406</v>
      </c>
      <c r="B458" s="4" t="s">
        <v>856</v>
      </c>
      <c r="C458" s="4" t="s">
        <v>857</v>
      </c>
      <c r="D458" s="4" t="s">
        <v>858</v>
      </c>
      <c r="E458" s="7" t="s">
        <v>859</v>
      </c>
      <c r="F458" s="7" t="s">
        <v>881</v>
      </c>
      <c r="G458" s="3" t="s">
        <v>50</v>
      </c>
      <c r="H458" s="3"/>
      <c r="I458" s="3"/>
      <c r="J458" s="3"/>
      <c r="K458" s="3"/>
      <c r="L458" s="3"/>
      <c r="M458" s="3"/>
      <c r="N458" s="3"/>
      <c r="O458" s="3"/>
      <c r="P458" s="3"/>
      <c r="Q458" s="3"/>
    </row>
    <row r="459" spans="1:17" ht="60" customHeight="1" x14ac:dyDescent="0.25">
      <c r="A459" s="9">
        <f>IF(F459="","",ROW()-19-COUNTBLANK($F$20:F459))</f>
        <v>407</v>
      </c>
      <c r="B459" s="4" t="s">
        <v>861</v>
      </c>
      <c r="C459" s="4" t="s">
        <v>862</v>
      </c>
      <c r="D459" s="4" t="s">
        <v>863</v>
      </c>
      <c r="E459" s="7" t="s">
        <v>859</v>
      </c>
      <c r="F459" s="7" t="s">
        <v>864</v>
      </c>
      <c r="G459" s="3" t="s">
        <v>50</v>
      </c>
      <c r="H459" s="3"/>
      <c r="I459" s="3"/>
      <c r="J459" s="3"/>
      <c r="K459" s="3"/>
      <c r="L459" s="3"/>
      <c r="M459" s="3"/>
      <c r="N459" s="3"/>
      <c r="O459" s="3"/>
      <c r="P459" s="3"/>
      <c r="Q459" s="3"/>
    </row>
    <row r="460" spans="1:17" ht="60" customHeight="1" x14ac:dyDescent="0.25">
      <c r="A460" s="9">
        <f>IF(F460="","",ROW()-19-COUNTBLANK($F$20:F460))</f>
        <v>408</v>
      </c>
      <c r="B460" s="4" t="s">
        <v>865</v>
      </c>
      <c r="C460" s="4" t="s">
        <v>866</v>
      </c>
      <c r="D460" s="4" t="s">
        <v>867</v>
      </c>
      <c r="E460" s="7" t="s">
        <v>859</v>
      </c>
      <c r="F460" s="7" t="s">
        <v>868</v>
      </c>
      <c r="G460" s="3" t="s">
        <v>55</v>
      </c>
      <c r="H460" s="3"/>
      <c r="I460" s="3"/>
      <c r="J460" s="3"/>
      <c r="K460" s="3"/>
      <c r="L460" s="3"/>
      <c r="M460" s="3"/>
      <c r="N460" s="3"/>
      <c r="O460" s="3"/>
      <c r="P460" s="3"/>
      <c r="Q460" s="3"/>
    </row>
    <row r="461" spans="1:17" ht="60" customHeight="1" x14ac:dyDescent="0.25">
      <c r="A461" s="9">
        <f>IF(F461="","",ROW()-19-COUNTBLANK($F$20:F461))</f>
        <v>409</v>
      </c>
      <c r="B461" s="4" t="s">
        <v>869</v>
      </c>
      <c r="C461" s="4" t="s">
        <v>870</v>
      </c>
      <c r="D461" s="4" t="s">
        <v>871</v>
      </c>
      <c r="E461" s="7" t="s">
        <v>872</v>
      </c>
      <c r="F461" s="7" t="s">
        <v>873</v>
      </c>
      <c r="G461" s="3" t="s">
        <v>55</v>
      </c>
      <c r="H461" s="3"/>
      <c r="I461" s="3"/>
      <c r="J461" s="3"/>
      <c r="K461" s="3"/>
      <c r="L461" s="3"/>
      <c r="M461" s="3"/>
      <c r="N461" s="3"/>
      <c r="O461" s="3"/>
      <c r="P461" s="3"/>
      <c r="Q461" s="3"/>
    </row>
    <row r="462" spans="1:17" ht="20.100000000000001" customHeight="1" x14ac:dyDescent="0.25">
      <c r="A462" s="9" t="str">
        <f>IF(F462="","",ROW()-19-COUNTBLANK($F$20:F462))</f>
        <v/>
      </c>
      <c r="B462" s="12" t="s">
        <v>882</v>
      </c>
      <c r="C462" s="12"/>
      <c r="D462" s="12"/>
      <c r="E462" s="12"/>
      <c r="F462" s="12"/>
      <c r="G462" s="12"/>
      <c r="H462" s="12"/>
      <c r="I462" s="12"/>
      <c r="J462" s="12"/>
      <c r="K462" s="12"/>
      <c r="L462" s="12"/>
      <c r="M462" s="12"/>
      <c r="N462" s="12"/>
      <c r="O462" s="12"/>
      <c r="P462" s="12"/>
      <c r="Q462" s="12"/>
    </row>
    <row r="463" spans="1:17" ht="60" customHeight="1" x14ac:dyDescent="0.25">
      <c r="A463" s="9">
        <f>IF(F463="","",ROW()-19-COUNTBLANK($F$20:F463))</f>
        <v>410</v>
      </c>
      <c r="B463" s="4" t="s">
        <v>216</v>
      </c>
      <c r="C463" s="4" t="s">
        <v>883</v>
      </c>
      <c r="D463" s="4"/>
      <c r="E463" s="7" t="s">
        <v>884</v>
      </c>
      <c r="F463" s="7" t="s">
        <v>885</v>
      </c>
      <c r="G463" s="3" t="s">
        <v>55</v>
      </c>
      <c r="H463" s="3"/>
      <c r="I463" s="3"/>
      <c r="J463" s="3"/>
      <c r="K463" s="3"/>
      <c r="L463" s="3"/>
      <c r="M463" s="3"/>
      <c r="N463" s="3"/>
      <c r="O463" s="3"/>
      <c r="P463" s="3"/>
      <c r="Q463" s="3"/>
    </row>
    <row r="464" spans="1:17" ht="60" customHeight="1" x14ac:dyDescent="0.25">
      <c r="A464" s="9">
        <f>IF(F464="","",ROW()-19-COUNTBLANK($F$20:F464))</f>
        <v>411</v>
      </c>
      <c r="B464" s="4" t="s">
        <v>132</v>
      </c>
      <c r="C464" s="4" t="s">
        <v>886</v>
      </c>
      <c r="D464" s="4"/>
      <c r="E464" s="7" t="s">
        <v>884</v>
      </c>
      <c r="F464" s="7" t="s">
        <v>887</v>
      </c>
      <c r="G464" s="3" t="s">
        <v>55</v>
      </c>
      <c r="H464" s="3"/>
      <c r="I464" s="3"/>
      <c r="J464" s="3"/>
      <c r="K464" s="3"/>
      <c r="L464" s="3"/>
      <c r="M464" s="3"/>
      <c r="N464" s="3"/>
      <c r="O464" s="3"/>
      <c r="P464" s="3"/>
      <c r="Q464" s="3"/>
    </row>
    <row r="465" spans="1:17" ht="60" customHeight="1" x14ac:dyDescent="0.25">
      <c r="A465" s="9">
        <f>IF(F465="","",ROW()-19-COUNTBLANK($F$20:F465))</f>
        <v>412</v>
      </c>
      <c r="B465" s="4" t="s">
        <v>888</v>
      </c>
      <c r="C465" s="4" t="s">
        <v>889</v>
      </c>
      <c r="D465" s="4"/>
      <c r="E465" s="7" t="s">
        <v>890</v>
      </c>
      <c r="F465" s="7" t="s">
        <v>891</v>
      </c>
      <c r="G465" s="3" t="s">
        <v>50</v>
      </c>
      <c r="H465" s="3"/>
      <c r="I465" s="3"/>
      <c r="J465" s="3"/>
      <c r="K465" s="3"/>
      <c r="L465" s="3"/>
      <c r="M465" s="3"/>
      <c r="N465" s="3"/>
      <c r="O465" s="3"/>
      <c r="P465" s="3"/>
      <c r="Q465" s="3"/>
    </row>
    <row r="466" spans="1:17" ht="60" customHeight="1" x14ac:dyDescent="0.25">
      <c r="A466" s="9">
        <f>IF(F466="","",ROW()-19-COUNTBLANK($F$20:F466))</f>
        <v>413</v>
      </c>
      <c r="B466" s="4" t="s">
        <v>892</v>
      </c>
      <c r="C466" s="4" t="s">
        <v>893</v>
      </c>
      <c r="D466" s="4"/>
      <c r="E466" s="7" t="s">
        <v>894</v>
      </c>
      <c r="F466" s="7" t="s">
        <v>895</v>
      </c>
      <c r="G466" s="3" t="s">
        <v>50</v>
      </c>
      <c r="H466" s="3"/>
      <c r="I466" s="3"/>
      <c r="J466" s="3"/>
      <c r="K466" s="3"/>
      <c r="L466" s="3"/>
      <c r="M466" s="3"/>
      <c r="N466" s="3"/>
      <c r="O466" s="3"/>
      <c r="P466" s="3"/>
      <c r="Q466" s="3"/>
    </row>
    <row r="467" spans="1:17" ht="60" customHeight="1" x14ac:dyDescent="0.25">
      <c r="A467" s="9">
        <f>IF(F467="","",ROW()-19-COUNTBLANK($F$20:F467))</f>
        <v>414</v>
      </c>
      <c r="B467" s="4" t="s">
        <v>896</v>
      </c>
      <c r="C467" s="4" t="s">
        <v>897</v>
      </c>
      <c r="D467" s="4"/>
      <c r="E467" s="7" t="s">
        <v>898</v>
      </c>
      <c r="F467" s="7" t="s">
        <v>899</v>
      </c>
      <c r="G467" s="3" t="s">
        <v>73</v>
      </c>
      <c r="H467" s="3"/>
      <c r="I467" s="3"/>
      <c r="J467" s="3"/>
      <c r="K467" s="3"/>
      <c r="L467" s="3"/>
      <c r="M467" s="3"/>
      <c r="N467" s="3"/>
      <c r="O467" s="3"/>
      <c r="P467" s="3"/>
      <c r="Q467" s="3"/>
    </row>
    <row r="468" spans="1:17" ht="60" customHeight="1" x14ac:dyDescent="0.25">
      <c r="A468" s="9">
        <f>IF(F468="","",ROW()-19-COUNTBLANK($F$20:F468))</f>
        <v>415</v>
      </c>
      <c r="B468" s="4" t="s">
        <v>900</v>
      </c>
      <c r="C468" s="4" t="s">
        <v>901</v>
      </c>
      <c r="D468" s="4"/>
      <c r="E468" s="7" t="s">
        <v>902</v>
      </c>
      <c r="F468" s="7" t="s">
        <v>903</v>
      </c>
      <c r="G468" s="3" t="s">
        <v>50</v>
      </c>
      <c r="H468" s="3"/>
      <c r="I468" s="3"/>
      <c r="J468" s="3"/>
      <c r="K468" s="3"/>
      <c r="L468" s="3"/>
      <c r="M468" s="3"/>
      <c r="N468" s="3"/>
      <c r="O468" s="3"/>
      <c r="P468" s="3"/>
      <c r="Q468" s="3"/>
    </row>
    <row r="469" spans="1:17" ht="60" customHeight="1" x14ac:dyDescent="0.25">
      <c r="A469" s="9">
        <f>IF(F469="","",ROW()-19-COUNTBLANK($F$20:F469))</f>
        <v>416</v>
      </c>
      <c r="B469" s="4" t="s">
        <v>904</v>
      </c>
      <c r="C469" s="4" t="s">
        <v>905</v>
      </c>
      <c r="D469" s="4" t="s">
        <v>906</v>
      </c>
      <c r="E469" s="7" t="s">
        <v>907</v>
      </c>
      <c r="F469" s="7" t="s">
        <v>908</v>
      </c>
      <c r="G469" s="3" t="s">
        <v>55</v>
      </c>
      <c r="H469" s="3"/>
      <c r="I469" s="3"/>
      <c r="J469" s="3"/>
      <c r="K469" s="3"/>
      <c r="L469" s="3"/>
      <c r="M469" s="3"/>
      <c r="N469" s="3"/>
      <c r="O469" s="3"/>
      <c r="P469" s="3"/>
      <c r="Q469" s="3"/>
    </row>
    <row r="470" spans="1:17" ht="20.100000000000001" customHeight="1" x14ac:dyDescent="0.25">
      <c r="A470" s="9" t="str">
        <f>IF(F470="","",ROW()-19-COUNTBLANK($F$20:F470))</f>
        <v/>
      </c>
      <c r="B470" s="12" t="s">
        <v>909</v>
      </c>
      <c r="C470" s="12"/>
      <c r="D470" s="12"/>
      <c r="E470" s="12"/>
      <c r="F470" s="12"/>
      <c r="G470" s="12"/>
      <c r="H470" s="12"/>
      <c r="I470" s="12"/>
      <c r="J470" s="12"/>
      <c r="K470" s="12"/>
      <c r="L470" s="12"/>
      <c r="M470" s="12"/>
      <c r="N470" s="12"/>
      <c r="O470" s="12"/>
      <c r="P470" s="12"/>
      <c r="Q470" s="12"/>
    </row>
    <row r="471" spans="1:17" ht="60" customHeight="1" x14ac:dyDescent="0.25">
      <c r="A471" s="9">
        <f>IF(F471="","",ROW()-19-COUNTBLANK($F$20:F471))</f>
        <v>417</v>
      </c>
      <c r="B471" s="4" t="s">
        <v>216</v>
      </c>
      <c r="C471" s="4" t="s">
        <v>910</v>
      </c>
      <c r="D471" s="4"/>
      <c r="E471" s="7" t="s">
        <v>911</v>
      </c>
      <c r="F471" s="7" t="s">
        <v>885</v>
      </c>
      <c r="G471" s="3" t="s">
        <v>55</v>
      </c>
      <c r="H471" s="3"/>
      <c r="I471" s="3"/>
      <c r="J471" s="3"/>
      <c r="K471" s="3"/>
      <c r="L471" s="3"/>
      <c r="M471" s="3"/>
      <c r="N471" s="3"/>
      <c r="O471" s="3"/>
      <c r="P471" s="3"/>
      <c r="Q471" s="3"/>
    </row>
    <row r="472" spans="1:17" ht="60" customHeight="1" x14ac:dyDescent="0.25">
      <c r="A472" s="9">
        <f>IF(F472="","",ROW()-19-COUNTBLANK($F$20:F472))</f>
        <v>418</v>
      </c>
      <c r="B472" s="4" t="s">
        <v>132</v>
      </c>
      <c r="C472" s="4" t="s">
        <v>886</v>
      </c>
      <c r="D472" s="4"/>
      <c r="E472" s="7" t="s">
        <v>911</v>
      </c>
      <c r="F472" s="7" t="s">
        <v>912</v>
      </c>
      <c r="G472" s="3" t="s">
        <v>55</v>
      </c>
      <c r="H472" s="3"/>
      <c r="I472" s="3"/>
      <c r="J472" s="3"/>
      <c r="K472" s="3"/>
      <c r="L472" s="3"/>
      <c r="M472" s="3"/>
      <c r="N472" s="3"/>
      <c r="O472" s="3"/>
      <c r="P472" s="3"/>
      <c r="Q472" s="3"/>
    </row>
    <row r="473" spans="1:17" ht="60" customHeight="1" x14ac:dyDescent="0.25">
      <c r="A473" s="9">
        <f>IF(F473="","",ROW()-19-COUNTBLANK($F$20:F473))</f>
        <v>419</v>
      </c>
      <c r="B473" s="4" t="s">
        <v>888</v>
      </c>
      <c r="C473" s="4" t="s">
        <v>889</v>
      </c>
      <c r="D473" s="4"/>
      <c r="E473" s="7" t="s">
        <v>913</v>
      </c>
      <c r="F473" s="7" t="s">
        <v>914</v>
      </c>
      <c r="G473" s="3" t="s">
        <v>50</v>
      </c>
      <c r="H473" s="3"/>
      <c r="I473" s="3"/>
      <c r="J473" s="3"/>
      <c r="K473" s="3"/>
      <c r="L473" s="3"/>
      <c r="M473" s="3"/>
      <c r="N473" s="3"/>
      <c r="O473" s="3"/>
      <c r="P473" s="3"/>
      <c r="Q473" s="3"/>
    </row>
    <row r="474" spans="1:17" ht="60" customHeight="1" x14ac:dyDescent="0.25">
      <c r="A474" s="9">
        <f>IF(F474="","",ROW()-19-COUNTBLANK($F$20:F474))</f>
        <v>420</v>
      </c>
      <c r="B474" s="4" t="s">
        <v>892</v>
      </c>
      <c r="C474" s="4" t="s">
        <v>893</v>
      </c>
      <c r="D474" s="4"/>
      <c r="E474" s="7" t="s">
        <v>915</v>
      </c>
      <c r="F474" s="7" t="s">
        <v>916</v>
      </c>
      <c r="G474" s="3" t="s">
        <v>50</v>
      </c>
      <c r="H474" s="3"/>
      <c r="I474" s="3"/>
      <c r="J474" s="3"/>
      <c r="K474" s="3"/>
      <c r="L474" s="3"/>
      <c r="M474" s="3"/>
      <c r="N474" s="3"/>
      <c r="O474" s="3"/>
      <c r="P474" s="3"/>
      <c r="Q474" s="3"/>
    </row>
    <row r="475" spans="1:17" ht="60" customHeight="1" x14ac:dyDescent="0.25">
      <c r="A475" s="9">
        <f>IF(F475="","",ROW()-19-COUNTBLANK($F$20:F475))</f>
        <v>421</v>
      </c>
      <c r="B475" s="4" t="s">
        <v>896</v>
      </c>
      <c r="C475" s="4" t="s">
        <v>897</v>
      </c>
      <c r="D475" s="4"/>
      <c r="E475" s="7" t="s">
        <v>917</v>
      </c>
      <c r="F475" s="7" t="s">
        <v>899</v>
      </c>
      <c r="G475" s="3" t="s">
        <v>73</v>
      </c>
      <c r="H475" s="3"/>
      <c r="I475" s="3"/>
      <c r="J475" s="3"/>
      <c r="K475" s="3"/>
      <c r="L475" s="3"/>
      <c r="M475" s="3"/>
      <c r="N475" s="3"/>
      <c r="O475" s="3"/>
      <c r="P475" s="3"/>
      <c r="Q475" s="3"/>
    </row>
    <row r="476" spans="1:17" ht="60" customHeight="1" x14ac:dyDescent="0.25">
      <c r="A476" s="9">
        <f>IF(F476="","",ROW()-19-COUNTBLANK($F$20:F476))</f>
        <v>422</v>
      </c>
      <c r="B476" s="4" t="s">
        <v>918</v>
      </c>
      <c r="C476" s="4" t="s">
        <v>919</v>
      </c>
      <c r="D476" s="4" t="s">
        <v>920</v>
      </c>
      <c r="E476" s="7" t="s">
        <v>921</v>
      </c>
      <c r="F476" s="7" t="s">
        <v>922</v>
      </c>
      <c r="G476" s="3" t="s">
        <v>50</v>
      </c>
      <c r="H476" s="3"/>
      <c r="I476" s="3"/>
      <c r="J476" s="3"/>
      <c r="K476" s="3"/>
      <c r="L476" s="3"/>
      <c r="M476" s="3"/>
      <c r="N476" s="3"/>
      <c r="O476" s="3"/>
      <c r="P476" s="3"/>
      <c r="Q476" s="3"/>
    </row>
    <row r="477" spans="1:17" ht="60" customHeight="1" x14ac:dyDescent="0.25">
      <c r="A477" s="9">
        <f>IF(F477="","",ROW()-19-COUNTBLANK($F$20:F477))</f>
        <v>423</v>
      </c>
      <c r="B477" s="4" t="s">
        <v>923</v>
      </c>
      <c r="C477" s="4" t="s">
        <v>924</v>
      </c>
      <c r="D477" s="4"/>
      <c r="E477" s="7" t="s">
        <v>925</v>
      </c>
      <c r="F477" s="7" t="s">
        <v>926</v>
      </c>
      <c r="G477" s="3" t="s">
        <v>55</v>
      </c>
      <c r="H477" s="3"/>
      <c r="I477" s="3"/>
      <c r="J477" s="3"/>
      <c r="K477" s="3"/>
      <c r="L477" s="3"/>
      <c r="M477" s="3"/>
      <c r="N477" s="3"/>
      <c r="O477" s="3"/>
      <c r="P477" s="3"/>
      <c r="Q477" s="3"/>
    </row>
    <row r="478" spans="1:17" ht="60" customHeight="1" x14ac:dyDescent="0.25">
      <c r="A478" s="9">
        <f>IF(F478="","",ROW()-19-COUNTBLANK($F$20:F478))</f>
        <v>424</v>
      </c>
      <c r="B478" s="4" t="s">
        <v>927</v>
      </c>
      <c r="C478" s="4" t="s">
        <v>928</v>
      </c>
      <c r="D478" s="4" t="s">
        <v>929</v>
      </c>
      <c r="E478" s="7" t="s">
        <v>930</v>
      </c>
      <c r="F478" s="7" t="s">
        <v>931</v>
      </c>
      <c r="G478" s="3" t="s">
        <v>50</v>
      </c>
      <c r="H478" s="3"/>
      <c r="I478" s="3"/>
      <c r="J478" s="3"/>
      <c r="K478" s="3"/>
      <c r="L478" s="3"/>
      <c r="M478" s="3"/>
      <c r="N478" s="3"/>
      <c r="O478" s="3"/>
      <c r="P478" s="3"/>
      <c r="Q478" s="3"/>
    </row>
    <row r="479" spans="1:17" ht="60" customHeight="1" x14ac:dyDescent="0.25">
      <c r="A479" s="9">
        <f>IF(F479="","",ROW()-19-COUNTBLANK($F$20:F479))</f>
        <v>425</v>
      </c>
      <c r="B479" s="4" t="s">
        <v>932</v>
      </c>
      <c r="C479" s="4" t="s">
        <v>933</v>
      </c>
      <c r="D479" s="4" t="s">
        <v>934</v>
      </c>
      <c r="E479" s="7" t="s">
        <v>935</v>
      </c>
      <c r="F479" s="7" t="s">
        <v>936</v>
      </c>
      <c r="G479" s="3" t="s">
        <v>55</v>
      </c>
      <c r="H479" s="3"/>
      <c r="I479" s="3"/>
      <c r="J479" s="3"/>
      <c r="K479" s="3"/>
      <c r="L479" s="3"/>
      <c r="M479" s="3"/>
      <c r="N479" s="3"/>
      <c r="O479" s="3"/>
      <c r="P479" s="3"/>
      <c r="Q479" s="3"/>
    </row>
    <row r="480" spans="1:17" ht="20.100000000000001" customHeight="1" x14ac:dyDescent="0.25">
      <c r="A480" s="9" t="str">
        <f>IF(F480="","",ROW()-19-COUNTBLANK($F$20:F480))</f>
        <v/>
      </c>
      <c r="B480" s="12" t="s">
        <v>937</v>
      </c>
      <c r="C480" s="12"/>
      <c r="D480" s="12"/>
      <c r="E480" s="12"/>
      <c r="F480" s="12"/>
      <c r="G480" s="12"/>
      <c r="H480" s="12"/>
      <c r="I480" s="12"/>
      <c r="J480" s="12"/>
      <c r="K480" s="12"/>
      <c r="L480" s="12"/>
      <c r="M480" s="12"/>
      <c r="N480" s="12"/>
      <c r="O480" s="12"/>
      <c r="P480" s="12"/>
      <c r="Q480" s="12"/>
    </row>
    <row r="481" spans="1:17" ht="60" customHeight="1" x14ac:dyDescent="0.25">
      <c r="A481" s="9">
        <f>IF(F481="","",ROW()-19-COUNTBLANK($F$20:F481))</f>
        <v>426</v>
      </c>
      <c r="B481" s="4" t="s">
        <v>938</v>
      </c>
      <c r="C481" s="4" t="s">
        <v>939</v>
      </c>
      <c r="D481" s="4" t="s">
        <v>940</v>
      </c>
      <c r="E481" s="7" t="s">
        <v>941</v>
      </c>
      <c r="F481" s="7" t="s">
        <v>942</v>
      </c>
      <c r="G481" s="3" t="s">
        <v>50</v>
      </c>
      <c r="H481" s="3"/>
      <c r="I481" s="3"/>
      <c r="J481" s="3"/>
      <c r="K481" s="3"/>
      <c r="L481" s="3"/>
      <c r="M481" s="3"/>
      <c r="N481" s="3"/>
      <c r="O481" s="3"/>
      <c r="P481" s="3"/>
      <c r="Q481" s="3"/>
    </row>
    <row r="482" spans="1:17" ht="60" customHeight="1" x14ac:dyDescent="0.25">
      <c r="A482" s="9">
        <f>IF(F482="","",ROW()-19-COUNTBLANK($F$20:F482))</f>
        <v>427</v>
      </c>
      <c r="B482" s="4" t="s">
        <v>943</v>
      </c>
      <c r="C482" s="4" t="s">
        <v>944</v>
      </c>
      <c r="D482" s="4" t="s">
        <v>945</v>
      </c>
      <c r="E482" s="7" t="s">
        <v>946</v>
      </c>
      <c r="F482" s="7" t="s">
        <v>947</v>
      </c>
      <c r="G482" s="3" t="s">
        <v>50</v>
      </c>
      <c r="H482" s="3"/>
      <c r="I482" s="3"/>
      <c r="J482" s="3"/>
      <c r="K482" s="3"/>
      <c r="L482" s="3"/>
      <c r="M482" s="3"/>
      <c r="N482" s="3"/>
      <c r="O482" s="3"/>
      <c r="P482" s="3"/>
      <c r="Q482" s="3"/>
    </row>
    <row r="483" spans="1:17" ht="60" customHeight="1" x14ac:dyDescent="0.25">
      <c r="A483" s="9">
        <f>IF(F483="","",ROW()-19-COUNTBLANK($F$20:F483))</f>
        <v>428</v>
      </c>
      <c r="B483" s="4" t="s">
        <v>948</v>
      </c>
      <c r="C483" s="4" t="s">
        <v>949</v>
      </c>
      <c r="D483" s="4"/>
      <c r="E483" s="7" t="s">
        <v>950</v>
      </c>
      <c r="F483" s="7" t="s">
        <v>951</v>
      </c>
      <c r="G483" s="3" t="s">
        <v>55</v>
      </c>
      <c r="H483" s="3"/>
      <c r="I483" s="3"/>
      <c r="J483" s="3"/>
      <c r="K483" s="3"/>
      <c r="L483" s="3"/>
      <c r="M483" s="3"/>
      <c r="N483" s="3"/>
      <c r="O483" s="3"/>
      <c r="P483" s="3"/>
      <c r="Q483" s="3"/>
    </row>
    <row r="484" spans="1:17" ht="20.100000000000001" customHeight="1" x14ac:dyDescent="0.25">
      <c r="A484" s="9" t="str">
        <f>IF(F484="","",ROW()-19-COUNTBLANK($F$20:F484))</f>
        <v/>
      </c>
      <c r="B484" s="12" t="s">
        <v>952</v>
      </c>
      <c r="C484" s="12"/>
      <c r="D484" s="12"/>
      <c r="E484" s="12"/>
      <c r="F484" s="12"/>
      <c r="G484" s="12"/>
      <c r="H484" s="12"/>
      <c r="I484" s="12"/>
      <c r="J484" s="12"/>
      <c r="K484" s="12"/>
      <c r="L484" s="12"/>
      <c r="M484" s="12"/>
      <c r="N484" s="12"/>
      <c r="O484" s="12"/>
      <c r="P484" s="12"/>
      <c r="Q484" s="12"/>
    </row>
    <row r="485" spans="1:17" ht="60" customHeight="1" x14ac:dyDescent="0.25">
      <c r="A485" s="9">
        <f>IF(F485="","",ROW()-19-COUNTBLANK($F$20:F485))</f>
        <v>429</v>
      </c>
      <c r="B485" s="4" t="s">
        <v>953</v>
      </c>
      <c r="C485" s="4" t="s">
        <v>954</v>
      </c>
      <c r="D485" s="4"/>
      <c r="E485" s="7" t="s">
        <v>955</v>
      </c>
      <c r="F485" s="7" t="s">
        <v>956</v>
      </c>
      <c r="G485" s="3" t="s">
        <v>50</v>
      </c>
      <c r="H485" s="3"/>
      <c r="I485" s="3"/>
      <c r="J485" s="3"/>
      <c r="K485" s="3"/>
      <c r="L485" s="3"/>
      <c r="M485" s="3"/>
      <c r="N485" s="3"/>
      <c r="O485" s="3"/>
      <c r="P485" s="3"/>
      <c r="Q485" s="3"/>
    </row>
    <row r="486" spans="1:17" ht="60" customHeight="1" x14ac:dyDescent="0.25">
      <c r="A486" s="9">
        <f>IF(F486="","",ROW()-19-COUNTBLANK($F$20:F486))</f>
        <v>430</v>
      </c>
      <c r="B486" s="4" t="s">
        <v>957</v>
      </c>
      <c r="C486" s="4" t="s">
        <v>958</v>
      </c>
      <c r="D486" s="4" t="s">
        <v>959</v>
      </c>
      <c r="E486" s="7" t="s">
        <v>960</v>
      </c>
      <c r="F486" s="7" t="s">
        <v>961</v>
      </c>
      <c r="G486" s="3" t="s">
        <v>55</v>
      </c>
      <c r="H486" s="3"/>
      <c r="I486" s="3"/>
      <c r="J486" s="3"/>
      <c r="K486" s="3"/>
      <c r="L486" s="3"/>
      <c r="M486" s="3"/>
      <c r="N486" s="3"/>
      <c r="O486" s="3"/>
      <c r="P486" s="3"/>
      <c r="Q486" s="3"/>
    </row>
    <row r="487" spans="1:17" ht="20.100000000000001" customHeight="1" x14ac:dyDescent="0.25">
      <c r="A487" s="9" t="str">
        <f>IF(F487="","",ROW()-19-COUNTBLANK($F$20:F487))</f>
        <v/>
      </c>
      <c r="B487" s="12" t="s">
        <v>962</v>
      </c>
      <c r="C487" s="12"/>
      <c r="D487" s="12"/>
      <c r="E487" s="12"/>
      <c r="F487" s="12"/>
      <c r="G487" s="12"/>
      <c r="H487" s="12"/>
      <c r="I487" s="12"/>
      <c r="J487" s="12"/>
      <c r="K487" s="12"/>
      <c r="L487" s="12"/>
      <c r="M487" s="12"/>
      <c r="N487" s="12"/>
      <c r="O487" s="12"/>
      <c r="P487" s="12"/>
      <c r="Q487" s="12"/>
    </row>
    <row r="488" spans="1:17" ht="60" customHeight="1" x14ac:dyDescent="0.25">
      <c r="A488" s="9">
        <f>IF(F488="","",ROW()-19-COUNTBLANK($F$20:F488))</f>
        <v>431</v>
      </c>
      <c r="B488" s="4" t="s">
        <v>963</v>
      </c>
      <c r="C488" s="4" t="s">
        <v>964</v>
      </c>
      <c r="D488" s="4"/>
      <c r="E488" s="7" t="s">
        <v>965</v>
      </c>
      <c r="F488" s="7" t="s">
        <v>966</v>
      </c>
      <c r="G488" s="3" t="s">
        <v>55</v>
      </c>
      <c r="H488" s="3"/>
      <c r="I488" s="3"/>
      <c r="J488" s="3"/>
      <c r="K488" s="3"/>
      <c r="L488" s="3"/>
      <c r="M488" s="3"/>
      <c r="N488" s="3"/>
      <c r="O488" s="3"/>
      <c r="P488" s="3"/>
      <c r="Q488" s="3"/>
    </row>
    <row r="489" spans="1:17" ht="60" customHeight="1" x14ac:dyDescent="0.25">
      <c r="A489" s="9">
        <f>IF(F489="","",ROW()-19-COUNTBLANK($F$20:F489))</f>
        <v>432</v>
      </c>
      <c r="B489" s="4" t="s">
        <v>967</v>
      </c>
      <c r="C489" s="4" t="s">
        <v>968</v>
      </c>
      <c r="D489" s="4" t="s">
        <v>969</v>
      </c>
      <c r="E489" s="7" t="s">
        <v>970</v>
      </c>
      <c r="F489" s="7" t="s">
        <v>971</v>
      </c>
      <c r="G489" s="3" t="s">
        <v>55</v>
      </c>
      <c r="H489" s="3"/>
      <c r="I489" s="3"/>
      <c r="J489" s="3"/>
      <c r="K489" s="3"/>
      <c r="L489" s="3"/>
      <c r="M489" s="3"/>
      <c r="N489" s="3"/>
      <c r="O489" s="3"/>
      <c r="P489" s="3"/>
      <c r="Q489" s="3"/>
    </row>
    <row r="490" spans="1:17" ht="60" customHeight="1" x14ac:dyDescent="0.25">
      <c r="A490" s="9">
        <f>IF(F490="","",ROW()-19-COUNTBLANK($F$20:F490))</f>
        <v>433</v>
      </c>
      <c r="B490" s="4" t="s">
        <v>972</v>
      </c>
      <c r="C490" s="4" t="s">
        <v>973</v>
      </c>
      <c r="D490" s="4" t="s">
        <v>974</v>
      </c>
      <c r="E490" s="7" t="s">
        <v>975</v>
      </c>
      <c r="F490" s="7" t="s">
        <v>976</v>
      </c>
      <c r="G490" s="3" t="s">
        <v>73</v>
      </c>
      <c r="H490" s="3"/>
      <c r="I490" s="3"/>
      <c r="J490" s="3"/>
      <c r="K490" s="3"/>
      <c r="L490" s="3"/>
      <c r="M490" s="3"/>
      <c r="N490" s="3"/>
      <c r="O490" s="3"/>
      <c r="P490" s="3"/>
      <c r="Q490" s="3"/>
    </row>
    <row r="491" spans="1:17" ht="60" customHeight="1" x14ac:dyDescent="0.25">
      <c r="A491" s="9">
        <f>IF(F491="","",ROW()-19-COUNTBLANK($F$20:F491))</f>
        <v>434</v>
      </c>
      <c r="B491" s="4" t="s">
        <v>977</v>
      </c>
      <c r="C491" s="4" t="s">
        <v>978</v>
      </c>
      <c r="D491" s="4" t="s">
        <v>979</v>
      </c>
      <c r="E491" s="7" t="s">
        <v>980</v>
      </c>
      <c r="F491" s="7" t="s">
        <v>981</v>
      </c>
      <c r="G491" s="3" t="s">
        <v>73</v>
      </c>
      <c r="H491" s="3"/>
      <c r="I491" s="3"/>
      <c r="J491" s="3"/>
      <c r="K491" s="3"/>
      <c r="L491" s="3"/>
      <c r="M491" s="3"/>
      <c r="N491" s="3"/>
      <c r="O491" s="3"/>
      <c r="P491" s="3"/>
      <c r="Q491" s="3"/>
    </row>
    <row r="492" spans="1:17" ht="60" customHeight="1" x14ac:dyDescent="0.25">
      <c r="A492" s="9">
        <f>IF(F492="","",ROW()-19-COUNTBLANK($F$20:F492))</f>
        <v>435</v>
      </c>
      <c r="B492" s="4" t="s">
        <v>982</v>
      </c>
      <c r="C492" s="4" t="s">
        <v>983</v>
      </c>
      <c r="D492" s="4"/>
      <c r="E492" s="7" t="s">
        <v>984</v>
      </c>
      <c r="F492" s="7" t="s">
        <v>985</v>
      </c>
      <c r="G492" s="3" t="s">
        <v>73</v>
      </c>
      <c r="H492" s="3"/>
      <c r="I492" s="3"/>
      <c r="J492" s="3"/>
      <c r="K492" s="3"/>
      <c r="L492" s="3"/>
      <c r="M492" s="3"/>
      <c r="N492" s="3"/>
      <c r="O492" s="3"/>
      <c r="P492" s="3"/>
      <c r="Q492" s="3"/>
    </row>
    <row r="493" spans="1:17" ht="60" customHeight="1" x14ac:dyDescent="0.25">
      <c r="A493" s="9">
        <f>IF(F493="","",ROW()-19-COUNTBLANK($F$20:F493))</f>
        <v>436</v>
      </c>
      <c r="B493" s="4" t="s">
        <v>986</v>
      </c>
      <c r="C493" s="4" t="s">
        <v>987</v>
      </c>
      <c r="D493" s="4" t="s">
        <v>988</v>
      </c>
      <c r="E493" s="7" t="s">
        <v>989</v>
      </c>
      <c r="F493" s="7" t="s">
        <v>990</v>
      </c>
      <c r="G493" s="3" t="s">
        <v>73</v>
      </c>
      <c r="H493" s="3"/>
      <c r="I493" s="3"/>
      <c r="J493" s="3"/>
      <c r="K493" s="3"/>
      <c r="L493" s="3"/>
      <c r="M493" s="3"/>
      <c r="N493" s="3"/>
      <c r="O493" s="3"/>
      <c r="P493" s="3"/>
      <c r="Q493" s="3"/>
    </row>
    <row r="494" spans="1:17" ht="60" customHeight="1" x14ac:dyDescent="0.25">
      <c r="A494" s="9">
        <f>IF(F494="","",ROW()-19-COUNTBLANK($F$20:F494))</f>
        <v>437</v>
      </c>
      <c r="B494" s="4" t="s">
        <v>991</v>
      </c>
      <c r="C494" s="4" t="s">
        <v>992</v>
      </c>
      <c r="D494" s="4" t="s">
        <v>993</v>
      </c>
      <c r="E494" s="7" t="s">
        <v>994</v>
      </c>
      <c r="F494" s="7" t="s">
        <v>995</v>
      </c>
      <c r="G494" s="3" t="s">
        <v>55</v>
      </c>
      <c r="H494" s="3"/>
      <c r="I494" s="3"/>
      <c r="J494" s="3"/>
      <c r="K494" s="3"/>
      <c r="L494" s="3"/>
      <c r="M494" s="3"/>
      <c r="N494" s="3"/>
      <c r="O494" s="3"/>
      <c r="P494" s="3"/>
      <c r="Q494" s="3"/>
    </row>
    <row r="495" spans="1:17" ht="60" customHeight="1" x14ac:dyDescent="0.25">
      <c r="A495" s="9">
        <f>IF(F495="","",ROW()-19-COUNTBLANK($F$20:F495))</f>
        <v>438</v>
      </c>
      <c r="B495" s="4" t="s">
        <v>996</v>
      </c>
      <c r="C495" s="4" t="s">
        <v>997</v>
      </c>
      <c r="D495" s="4"/>
      <c r="E495" s="7" t="s">
        <v>998</v>
      </c>
      <c r="F495" s="7" t="s">
        <v>999</v>
      </c>
      <c r="G495" s="3" t="s">
        <v>73</v>
      </c>
      <c r="H495" s="3"/>
      <c r="I495" s="3"/>
      <c r="J495" s="3"/>
      <c r="K495" s="3"/>
      <c r="L495" s="3"/>
      <c r="M495" s="3"/>
      <c r="N495" s="3"/>
      <c r="O495" s="3"/>
      <c r="P495" s="3"/>
      <c r="Q495" s="3"/>
    </row>
    <row r="496" spans="1:17" ht="60" customHeight="1" x14ac:dyDescent="0.25">
      <c r="A496" s="9">
        <f>IF(F496="","",ROW()-19-COUNTBLANK($F$20:F496))</f>
        <v>439</v>
      </c>
      <c r="B496" s="4" t="s">
        <v>1000</v>
      </c>
      <c r="C496" s="4" t="s">
        <v>1001</v>
      </c>
      <c r="D496" s="4"/>
      <c r="E496" s="7" t="s">
        <v>1002</v>
      </c>
      <c r="F496" s="7" t="s">
        <v>1003</v>
      </c>
      <c r="G496" s="3" t="s">
        <v>73</v>
      </c>
      <c r="H496" s="3"/>
      <c r="I496" s="3"/>
      <c r="J496" s="3"/>
      <c r="K496" s="3"/>
      <c r="L496" s="3"/>
      <c r="M496" s="3"/>
      <c r="N496" s="3"/>
      <c r="O496" s="3"/>
      <c r="P496" s="3"/>
      <c r="Q496" s="3"/>
    </row>
    <row r="497" spans="1:17" ht="60" customHeight="1" x14ac:dyDescent="0.25">
      <c r="A497" s="9">
        <f>IF(F497="","",ROW()-19-COUNTBLANK($F$20:F497))</f>
        <v>440</v>
      </c>
      <c r="B497" s="4" t="s">
        <v>1004</v>
      </c>
      <c r="C497" s="4" t="s">
        <v>1005</v>
      </c>
      <c r="D497" s="4"/>
      <c r="E497" s="7" t="s">
        <v>1006</v>
      </c>
      <c r="F497" s="7" t="s">
        <v>1007</v>
      </c>
      <c r="G497" s="3" t="s">
        <v>73</v>
      </c>
      <c r="H497" s="3"/>
      <c r="I497" s="3"/>
      <c r="J497" s="3"/>
      <c r="K497" s="3"/>
      <c r="L497" s="3"/>
      <c r="M497" s="3"/>
      <c r="N497" s="3"/>
      <c r="O497" s="3"/>
      <c r="P497" s="3"/>
      <c r="Q497" s="3"/>
    </row>
    <row r="498" spans="1:17" ht="60" customHeight="1" x14ac:dyDescent="0.25">
      <c r="A498" s="9">
        <f>IF(F498="","",ROW()-19-COUNTBLANK($F$20:F498))</f>
        <v>441</v>
      </c>
      <c r="B498" s="17" t="s">
        <v>1008</v>
      </c>
      <c r="C498" s="4" t="s">
        <v>1009</v>
      </c>
      <c r="D498" s="4" t="s">
        <v>1010</v>
      </c>
      <c r="E498" s="7" t="s">
        <v>1011</v>
      </c>
      <c r="F498" s="7" t="s">
        <v>1012</v>
      </c>
      <c r="G498" s="3" t="s">
        <v>55</v>
      </c>
      <c r="H498" s="3"/>
      <c r="I498" s="3"/>
      <c r="J498" s="3"/>
      <c r="K498" s="3"/>
      <c r="L498" s="3"/>
      <c r="M498" s="3"/>
      <c r="N498" s="3"/>
      <c r="O498" s="3"/>
      <c r="P498" s="3"/>
      <c r="Q498" s="3"/>
    </row>
    <row r="499" spans="1:17" ht="60" customHeight="1" x14ac:dyDescent="0.25">
      <c r="A499" s="9">
        <f>IF(F499="","",ROW()-19-COUNTBLANK($F$20:F499))</f>
        <v>442</v>
      </c>
      <c r="B499" s="18"/>
      <c r="C499" s="4" t="s">
        <v>1013</v>
      </c>
      <c r="D499" s="4"/>
      <c r="E499" s="7" t="s">
        <v>1014</v>
      </c>
      <c r="F499" s="7" t="s">
        <v>1015</v>
      </c>
      <c r="G499" s="3" t="s">
        <v>55</v>
      </c>
      <c r="H499" s="3"/>
      <c r="I499" s="3"/>
      <c r="J499" s="3"/>
      <c r="K499" s="3"/>
      <c r="L499" s="3"/>
      <c r="M499" s="3"/>
      <c r="N499" s="3"/>
      <c r="O499" s="3"/>
      <c r="P499" s="3"/>
      <c r="Q499" s="3"/>
    </row>
    <row r="500" spans="1:17" ht="60" customHeight="1" x14ac:dyDescent="0.25">
      <c r="A500" s="9">
        <f>IF(F500="","",ROW()-19-COUNTBLANK($F$20:F500))</f>
        <v>443</v>
      </c>
      <c r="B500" s="18"/>
      <c r="C500" s="4" t="s">
        <v>1016</v>
      </c>
      <c r="D500" s="4"/>
      <c r="E500" s="7" t="s">
        <v>1017</v>
      </c>
      <c r="F500" s="7" t="s">
        <v>1018</v>
      </c>
      <c r="G500" s="3" t="s">
        <v>55</v>
      </c>
      <c r="H500" s="3"/>
      <c r="I500" s="3"/>
      <c r="J500" s="3"/>
      <c r="K500" s="3"/>
      <c r="L500" s="3"/>
      <c r="M500" s="3"/>
      <c r="N500" s="3"/>
      <c r="O500" s="3"/>
      <c r="P500" s="3"/>
      <c r="Q500" s="3"/>
    </row>
    <row r="501" spans="1:17" ht="60" customHeight="1" x14ac:dyDescent="0.25">
      <c r="A501" s="9">
        <f>IF(F501="","",ROW()-19-COUNTBLANK($F$20:F501))</f>
        <v>444</v>
      </c>
      <c r="B501" s="18"/>
      <c r="C501" s="4" t="s">
        <v>1019</v>
      </c>
      <c r="D501" s="4"/>
      <c r="E501" s="7" t="s">
        <v>1020</v>
      </c>
      <c r="F501" s="7" t="s">
        <v>1021</v>
      </c>
      <c r="G501" s="3" t="s">
        <v>55</v>
      </c>
      <c r="H501" s="3"/>
      <c r="I501" s="3"/>
      <c r="J501" s="3"/>
      <c r="K501" s="3"/>
      <c r="L501" s="3"/>
      <c r="M501" s="3"/>
      <c r="N501" s="3"/>
      <c r="O501" s="3"/>
      <c r="P501" s="3"/>
      <c r="Q501" s="3"/>
    </row>
    <row r="502" spans="1:17" ht="60" customHeight="1" x14ac:dyDescent="0.25">
      <c r="A502" s="9">
        <f>IF(F502="","",ROW()-19-COUNTBLANK($F$20:F502))</f>
        <v>445</v>
      </c>
      <c r="B502" s="19"/>
      <c r="C502" s="4" t="s">
        <v>1022</v>
      </c>
      <c r="D502" s="4"/>
      <c r="E502" s="7" t="s">
        <v>1023</v>
      </c>
      <c r="F502" s="7" t="s">
        <v>1024</v>
      </c>
      <c r="G502" s="3" t="s">
        <v>55</v>
      </c>
      <c r="H502" s="3"/>
      <c r="I502" s="3"/>
      <c r="J502" s="3"/>
      <c r="K502" s="3"/>
      <c r="L502" s="3"/>
      <c r="M502" s="3"/>
      <c r="N502" s="3"/>
      <c r="O502" s="3"/>
      <c r="P502" s="3"/>
      <c r="Q502" s="3"/>
    </row>
    <row r="503" spans="1:17" ht="60" customHeight="1" x14ac:dyDescent="0.25">
      <c r="A503" s="9">
        <f>IF(F503="","",ROW()-19-COUNTBLANK($F$20:F503))</f>
        <v>446</v>
      </c>
      <c r="B503" s="17" t="s">
        <v>1025</v>
      </c>
      <c r="C503" s="4" t="s">
        <v>1026</v>
      </c>
      <c r="D503" s="4"/>
      <c r="E503" s="7" t="s">
        <v>1027</v>
      </c>
      <c r="F503" s="7" t="s">
        <v>1028</v>
      </c>
      <c r="G503" s="3" t="s">
        <v>55</v>
      </c>
      <c r="H503" s="3"/>
      <c r="I503" s="3"/>
      <c r="J503" s="3"/>
      <c r="K503" s="3"/>
      <c r="L503" s="3"/>
      <c r="M503" s="3"/>
      <c r="N503" s="3"/>
      <c r="O503" s="3"/>
      <c r="P503" s="3"/>
      <c r="Q503" s="3"/>
    </row>
    <row r="504" spans="1:17" ht="60" customHeight="1" x14ac:dyDescent="0.25">
      <c r="A504" s="9">
        <f>IF(F504="","",ROW()-19-COUNTBLANK($F$20:F504))</f>
        <v>447</v>
      </c>
      <c r="B504" s="18"/>
      <c r="C504" s="4" t="s">
        <v>1029</v>
      </c>
      <c r="D504" s="4"/>
      <c r="E504" s="7" t="s">
        <v>1030</v>
      </c>
      <c r="F504" s="7" t="s">
        <v>1031</v>
      </c>
      <c r="G504" s="3" t="s">
        <v>55</v>
      </c>
      <c r="H504" s="3"/>
      <c r="I504" s="3"/>
      <c r="J504" s="3"/>
      <c r="K504" s="3"/>
      <c r="L504" s="3"/>
      <c r="M504" s="3"/>
      <c r="N504" s="3"/>
      <c r="O504" s="3"/>
      <c r="P504" s="3"/>
      <c r="Q504" s="3"/>
    </row>
    <row r="505" spans="1:17" ht="60" customHeight="1" x14ac:dyDescent="0.25">
      <c r="A505" s="9">
        <f>IF(F505="","",ROW()-19-COUNTBLANK($F$20:F505))</f>
        <v>448</v>
      </c>
      <c r="B505" s="18"/>
      <c r="C505" s="4" t="s">
        <v>493</v>
      </c>
      <c r="D505" s="4" t="s">
        <v>1032</v>
      </c>
      <c r="E505" s="7" t="s">
        <v>1033</v>
      </c>
      <c r="F505" s="7" t="s">
        <v>1034</v>
      </c>
      <c r="G505" s="3" t="s">
        <v>50</v>
      </c>
      <c r="H505" s="3"/>
      <c r="I505" s="3"/>
      <c r="J505" s="3"/>
      <c r="K505" s="3"/>
      <c r="L505" s="3"/>
      <c r="M505" s="3"/>
      <c r="N505" s="3"/>
      <c r="O505" s="3"/>
      <c r="P505" s="3"/>
      <c r="Q505" s="3"/>
    </row>
    <row r="506" spans="1:17" ht="60" customHeight="1" x14ac:dyDescent="0.25">
      <c r="A506" s="9">
        <f>IF(F506="","",ROW()-19-COUNTBLANK($F$20:F506))</f>
        <v>449</v>
      </c>
      <c r="B506" s="18"/>
      <c r="C506" s="4" t="s">
        <v>497</v>
      </c>
      <c r="D506" s="4"/>
      <c r="E506" s="7" t="s">
        <v>1035</v>
      </c>
      <c r="F506" s="7" t="s">
        <v>1036</v>
      </c>
      <c r="G506" s="3" t="s">
        <v>73</v>
      </c>
      <c r="H506" s="3"/>
      <c r="I506" s="3"/>
      <c r="J506" s="3"/>
      <c r="K506" s="3"/>
      <c r="L506" s="3"/>
      <c r="M506" s="3"/>
      <c r="N506" s="3"/>
      <c r="O506" s="3"/>
      <c r="P506" s="3"/>
      <c r="Q506" s="3"/>
    </row>
    <row r="507" spans="1:17" ht="60" customHeight="1" x14ac:dyDescent="0.25">
      <c r="A507" s="9">
        <f>IF(F507="","",ROW()-19-COUNTBLANK($F$20:F507))</f>
        <v>450</v>
      </c>
      <c r="B507" s="18"/>
      <c r="C507" s="4" t="s">
        <v>1037</v>
      </c>
      <c r="D507" s="4"/>
      <c r="E507" s="7" t="s">
        <v>1038</v>
      </c>
      <c r="F507" s="7" t="s">
        <v>1039</v>
      </c>
      <c r="G507" s="3" t="s">
        <v>73</v>
      </c>
      <c r="H507" s="3"/>
      <c r="I507" s="3"/>
      <c r="J507" s="3"/>
      <c r="K507" s="3"/>
      <c r="L507" s="3"/>
      <c r="M507" s="3"/>
      <c r="N507" s="3"/>
      <c r="O507" s="3"/>
      <c r="P507" s="3"/>
      <c r="Q507" s="3"/>
    </row>
    <row r="508" spans="1:17" ht="60" customHeight="1" x14ac:dyDescent="0.25">
      <c r="A508" s="9">
        <f>IF(F508="","",ROW()-19-COUNTBLANK($F$20:F508))</f>
        <v>451</v>
      </c>
      <c r="B508" s="19"/>
      <c r="C508" s="4" t="s">
        <v>1040</v>
      </c>
      <c r="D508" s="4"/>
      <c r="E508" s="7" t="s">
        <v>1041</v>
      </c>
      <c r="F508" s="7" t="s">
        <v>1042</v>
      </c>
      <c r="G508" s="3" t="s">
        <v>73</v>
      </c>
      <c r="H508" s="3"/>
      <c r="I508" s="3"/>
      <c r="J508" s="3"/>
      <c r="K508" s="3"/>
      <c r="L508" s="3"/>
      <c r="M508" s="3"/>
      <c r="N508" s="3"/>
      <c r="O508" s="3"/>
      <c r="P508" s="3"/>
      <c r="Q508" s="3"/>
    </row>
    <row r="509" spans="1:17" ht="60" customHeight="1" x14ac:dyDescent="0.25">
      <c r="A509" s="9">
        <f>IF(F509="","",ROW()-19-COUNTBLANK($F$20:F509))</f>
        <v>452</v>
      </c>
      <c r="B509" s="17" t="s">
        <v>1043</v>
      </c>
      <c r="C509" s="4" t="s">
        <v>1044</v>
      </c>
      <c r="D509" s="4" t="s">
        <v>1045</v>
      </c>
      <c r="E509" s="7" t="s">
        <v>1046</v>
      </c>
      <c r="F509" s="7" t="s">
        <v>1047</v>
      </c>
      <c r="G509" s="3" t="s">
        <v>55</v>
      </c>
      <c r="H509" s="3"/>
      <c r="I509" s="3"/>
      <c r="J509" s="3"/>
      <c r="K509" s="3"/>
      <c r="L509" s="3"/>
      <c r="M509" s="3"/>
      <c r="N509" s="3"/>
      <c r="O509" s="3"/>
      <c r="P509" s="3"/>
      <c r="Q509" s="3"/>
    </row>
    <row r="510" spans="1:17" ht="60" customHeight="1" x14ac:dyDescent="0.25">
      <c r="A510" s="9">
        <f>IF(F510="","",ROW()-19-COUNTBLANK($F$20:F510))</f>
        <v>453</v>
      </c>
      <c r="B510" s="18"/>
      <c r="C510" s="4" t="s">
        <v>1048</v>
      </c>
      <c r="D510" s="4" t="s">
        <v>1049</v>
      </c>
      <c r="E510" s="7" t="s">
        <v>1050</v>
      </c>
      <c r="F510" s="7" t="s">
        <v>1051</v>
      </c>
      <c r="G510" s="3" t="s">
        <v>55</v>
      </c>
      <c r="H510" s="3"/>
      <c r="I510" s="3"/>
      <c r="J510" s="3"/>
      <c r="K510" s="3"/>
      <c r="L510" s="3"/>
      <c r="M510" s="3"/>
      <c r="N510" s="3"/>
      <c r="O510" s="3"/>
      <c r="P510" s="3"/>
      <c r="Q510" s="3"/>
    </row>
    <row r="511" spans="1:17" ht="60" customHeight="1" x14ac:dyDescent="0.25">
      <c r="A511" s="9">
        <f>IF(F511="","",ROW()-19-COUNTBLANK($F$20:F511))</f>
        <v>454</v>
      </c>
      <c r="B511" s="18"/>
      <c r="C511" s="4" t="s">
        <v>1052</v>
      </c>
      <c r="D511" s="4" t="s">
        <v>1053</v>
      </c>
      <c r="E511" s="7" t="s">
        <v>1054</v>
      </c>
      <c r="F511" s="7" t="s">
        <v>1055</v>
      </c>
      <c r="G511" s="3" t="s">
        <v>55</v>
      </c>
      <c r="H511" s="3"/>
      <c r="I511" s="3"/>
      <c r="J511" s="3"/>
      <c r="K511" s="3"/>
      <c r="L511" s="3"/>
      <c r="M511" s="3"/>
      <c r="N511" s="3"/>
      <c r="O511" s="3"/>
      <c r="P511" s="3"/>
      <c r="Q511" s="3"/>
    </row>
    <row r="512" spans="1:17" ht="60" customHeight="1" x14ac:dyDescent="0.25">
      <c r="A512" s="9">
        <f>IF(F512="","",ROW()-19-COUNTBLANK($F$20:F512))</f>
        <v>455</v>
      </c>
      <c r="B512" s="19"/>
      <c r="C512" s="4" t="s">
        <v>1056</v>
      </c>
      <c r="D512" s="4" t="s">
        <v>1057</v>
      </c>
      <c r="E512" s="7" t="s">
        <v>1058</v>
      </c>
      <c r="F512" s="7" t="s">
        <v>1059</v>
      </c>
      <c r="G512" s="3" t="s">
        <v>50</v>
      </c>
      <c r="H512" s="3"/>
      <c r="I512" s="3"/>
      <c r="J512" s="3"/>
      <c r="K512" s="3"/>
      <c r="L512" s="3"/>
      <c r="M512" s="3"/>
      <c r="N512" s="3"/>
      <c r="O512" s="3"/>
      <c r="P512" s="3"/>
      <c r="Q512" s="3"/>
    </row>
    <row r="513" spans="1:17" ht="20.100000000000001" customHeight="1" x14ac:dyDescent="0.25">
      <c r="A513" s="9" t="str">
        <f>IF(F513="","",ROW()-19-COUNTBLANK($F$20:F513))</f>
        <v/>
      </c>
      <c r="B513" s="12" t="s">
        <v>1060</v>
      </c>
      <c r="C513" s="12"/>
      <c r="D513" s="12"/>
      <c r="E513" s="12"/>
      <c r="F513" s="12"/>
      <c r="G513" s="12"/>
      <c r="H513" s="12"/>
      <c r="I513" s="12"/>
      <c r="J513" s="12"/>
      <c r="K513" s="12"/>
      <c r="L513" s="12"/>
      <c r="M513" s="12"/>
      <c r="N513" s="12"/>
      <c r="O513" s="12"/>
      <c r="P513" s="12"/>
      <c r="Q513" s="12"/>
    </row>
    <row r="514" spans="1:17" ht="60" customHeight="1" x14ac:dyDescent="0.25">
      <c r="A514" s="9">
        <f>IF(F514="","",ROW()-19-COUNTBLANK($F$20:F514))</f>
        <v>456</v>
      </c>
      <c r="B514" s="4" t="s">
        <v>216</v>
      </c>
      <c r="C514" s="4" t="s">
        <v>1061</v>
      </c>
      <c r="D514" s="4"/>
      <c r="E514" s="7" t="s">
        <v>1062</v>
      </c>
      <c r="F514" s="7" t="s">
        <v>1063</v>
      </c>
      <c r="G514" s="3" t="s">
        <v>55</v>
      </c>
      <c r="H514" s="3"/>
      <c r="I514" s="3"/>
      <c r="J514" s="3"/>
      <c r="K514" s="3"/>
      <c r="L514" s="3"/>
      <c r="M514" s="3"/>
      <c r="N514" s="3"/>
      <c r="O514" s="3"/>
      <c r="P514" s="3"/>
      <c r="Q514" s="3"/>
    </row>
    <row r="515" spans="1:17" ht="60" customHeight="1" x14ac:dyDescent="0.25">
      <c r="A515" s="9">
        <f>IF(F515="","",ROW()-19-COUNTBLANK($F$20:F515))</f>
        <v>457</v>
      </c>
      <c r="B515" s="4" t="s">
        <v>1064</v>
      </c>
      <c r="C515" s="4" t="s">
        <v>1065</v>
      </c>
      <c r="D515" s="4"/>
      <c r="E515" s="7" t="s">
        <v>1066</v>
      </c>
      <c r="F515" s="7" t="s">
        <v>1067</v>
      </c>
      <c r="G515" s="3" t="s">
        <v>55</v>
      </c>
      <c r="H515" s="3"/>
      <c r="I515" s="3"/>
      <c r="J515" s="3"/>
      <c r="K515" s="3"/>
      <c r="L515" s="3"/>
      <c r="M515" s="3"/>
      <c r="N515" s="3"/>
      <c r="O515" s="3"/>
      <c r="P515" s="3"/>
      <c r="Q515" s="3"/>
    </row>
    <row r="516" spans="1:17" ht="60" customHeight="1" x14ac:dyDescent="0.25">
      <c r="A516" s="9">
        <f>IF(F516="","",ROW()-19-COUNTBLANK($F$20:F516))</f>
        <v>458</v>
      </c>
      <c r="B516" s="4" t="s">
        <v>1068</v>
      </c>
      <c r="C516" s="4" t="s">
        <v>1069</v>
      </c>
      <c r="D516" s="4"/>
      <c r="E516" s="7" t="s">
        <v>1070</v>
      </c>
      <c r="F516" s="7" t="s">
        <v>1071</v>
      </c>
      <c r="G516" s="3" t="s">
        <v>73</v>
      </c>
      <c r="H516" s="3"/>
      <c r="I516" s="3"/>
      <c r="J516" s="3"/>
      <c r="K516" s="3"/>
      <c r="L516" s="3"/>
      <c r="M516" s="3"/>
      <c r="N516" s="3"/>
      <c r="O516" s="3"/>
      <c r="P516" s="3"/>
      <c r="Q516" s="3"/>
    </row>
    <row r="517" spans="1:17" ht="60" customHeight="1" x14ac:dyDescent="0.25">
      <c r="A517" s="9">
        <f>IF(F517="","",ROW()-19-COUNTBLANK($F$20:F517))</f>
        <v>459</v>
      </c>
      <c r="B517" s="4" t="s">
        <v>1072</v>
      </c>
      <c r="C517" s="4" t="s">
        <v>1073</v>
      </c>
      <c r="D517" s="4"/>
      <c r="E517" s="7" t="s">
        <v>1062</v>
      </c>
      <c r="F517" s="7" t="s">
        <v>1074</v>
      </c>
      <c r="G517" s="3" t="s">
        <v>73</v>
      </c>
      <c r="H517" s="3"/>
      <c r="I517" s="3"/>
      <c r="J517" s="3"/>
      <c r="K517" s="3"/>
      <c r="L517" s="3"/>
      <c r="M517" s="3"/>
      <c r="N517" s="3"/>
      <c r="O517" s="3"/>
      <c r="P517" s="3"/>
      <c r="Q517" s="3"/>
    </row>
    <row r="518" spans="1:17" ht="20.100000000000001" customHeight="1" x14ac:dyDescent="0.25">
      <c r="A518" s="9" t="str">
        <f>IF(F518="","",ROW()-19-COUNTBLANK($F$20:F518))</f>
        <v/>
      </c>
      <c r="B518" s="12" t="s">
        <v>1075</v>
      </c>
      <c r="C518" s="12"/>
      <c r="D518" s="12"/>
      <c r="E518" s="12"/>
      <c r="F518" s="12"/>
      <c r="G518" s="12"/>
      <c r="H518" s="12"/>
      <c r="I518" s="12"/>
      <c r="J518" s="12"/>
      <c r="K518" s="12"/>
      <c r="L518" s="12"/>
      <c r="M518" s="12"/>
      <c r="N518" s="12"/>
      <c r="O518" s="12"/>
      <c r="P518" s="12"/>
      <c r="Q518" s="12"/>
    </row>
    <row r="519" spans="1:17" ht="60" customHeight="1" x14ac:dyDescent="0.25">
      <c r="A519" s="9">
        <f>IF(F519="","",ROW()-19-COUNTBLANK($F$20:F519))</f>
        <v>460</v>
      </c>
      <c r="B519" s="4" t="s">
        <v>216</v>
      </c>
      <c r="C519" s="4" t="s">
        <v>1076</v>
      </c>
      <c r="D519" s="4"/>
      <c r="E519" s="7" t="s">
        <v>1077</v>
      </c>
      <c r="F519" s="7" t="s">
        <v>1078</v>
      </c>
      <c r="G519" s="3" t="s">
        <v>55</v>
      </c>
      <c r="H519" s="3"/>
      <c r="I519" s="3"/>
      <c r="J519" s="3"/>
      <c r="K519" s="3"/>
      <c r="L519" s="3"/>
      <c r="M519" s="3"/>
      <c r="N519" s="3"/>
      <c r="O519" s="3"/>
      <c r="P519" s="3"/>
      <c r="Q519" s="3"/>
    </row>
    <row r="520" spans="1:17" ht="60" customHeight="1" x14ac:dyDescent="0.25">
      <c r="A520" s="9">
        <f>IF(F520="","",ROW()-19-COUNTBLANK($F$20:F520))</f>
        <v>461</v>
      </c>
      <c r="B520" s="4" t="s">
        <v>1064</v>
      </c>
      <c r="C520" s="4" t="s">
        <v>1079</v>
      </c>
      <c r="D520" s="4"/>
      <c r="E520" s="7" t="s">
        <v>1080</v>
      </c>
      <c r="F520" s="7" t="s">
        <v>1067</v>
      </c>
      <c r="G520" s="3" t="s">
        <v>55</v>
      </c>
      <c r="H520" s="3"/>
      <c r="I520" s="3"/>
      <c r="J520" s="3"/>
      <c r="K520" s="3"/>
      <c r="L520" s="3"/>
      <c r="M520" s="3"/>
      <c r="N520" s="3"/>
      <c r="O520" s="3"/>
      <c r="P520" s="3"/>
      <c r="Q520" s="3"/>
    </row>
    <row r="521" spans="1:17" ht="60" customHeight="1" x14ac:dyDescent="0.25">
      <c r="A521" s="9">
        <f>IF(F521="","",ROW()-19-COUNTBLANK($F$20:F521))</f>
        <v>462</v>
      </c>
      <c r="B521" s="4" t="s">
        <v>1068</v>
      </c>
      <c r="C521" s="4" t="s">
        <v>1081</v>
      </c>
      <c r="D521" s="4" t="s">
        <v>1082</v>
      </c>
      <c r="E521" s="7" t="s">
        <v>1083</v>
      </c>
      <c r="F521" s="7" t="s">
        <v>1084</v>
      </c>
      <c r="G521" s="3" t="s">
        <v>55</v>
      </c>
      <c r="H521" s="3"/>
      <c r="I521" s="3"/>
      <c r="J521" s="3"/>
      <c r="K521" s="3"/>
      <c r="L521" s="3"/>
      <c r="M521" s="3"/>
      <c r="N521" s="3"/>
      <c r="O521" s="3"/>
      <c r="P521" s="3"/>
      <c r="Q521" s="3"/>
    </row>
    <row r="522" spans="1:17" ht="60" customHeight="1" x14ac:dyDescent="0.25">
      <c r="A522" s="9">
        <f>IF(F522="","",ROW()-19-COUNTBLANK($F$20:F522))</f>
        <v>463</v>
      </c>
      <c r="B522" s="4" t="s">
        <v>1072</v>
      </c>
      <c r="C522" s="4" t="s">
        <v>1085</v>
      </c>
      <c r="D522" s="4"/>
      <c r="E522" s="7" t="s">
        <v>1077</v>
      </c>
      <c r="F522" s="7" t="s">
        <v>1074</v>
      </c>
      <c r="G522" s="3" t="s">
        <v>73</v>
      </c>
      <c r="H522" s="3"/>
      <c r="I522" s="3"/>
      <c r="J522" s="3"/>
      <c r="K522" s="3"/>
      <c r="L522" s="3"/>
      <c r="M522" s="3"/>
      <c r="N522" s="3"/>
      <c r="O522" s="3"/>
      <c r="P522" s="3"/>
      <c r="Q522" s="3"/>
    </row>
    <row r="523" spans="1:17" ht="20.100000000000001" customHeight="1" x14ac:dyDescent="0.25">
      <c r="A523" s="9" t="str">
        <f>IF(F523="","",ROW()-19-COUNTBLANK($F$20:F523))</f>
        <v/>
      </c>
      <c r="B523" s="12" t="s">
        <v>1086</v>
      </c>
      <c r="C523" s="12"/>
      <c r="D523" s="12"/>
      <c r="E523" s="12"/>
      <c r="F523" s="12"/>
      <c r="G523" s="12"/>
      <c r="H523" s="12"/>
      <c r="I523" s="12"/>
      <c r="J523" s="12"/>
      <c r="K523" s="12"/>
      <c r="L523" s="12"/>
      <c r="M523" s="12"/>
      <c r="N523" s="12"/>
      <c r="O523" s="12"/>
      <c r="P523" s="12"/>
      <c r="Q523" s="12"/>
    </row>
    <row r="524" spans="1:17" ht="60" customHeight="1" x14ac:dyDescent="0.25">
      <c r="A524" s="9">
        <f>IF(F524="","",ROW()-19-COUNTBLANK($F$20:F524))</f>
        <v>464</v>
      </c>
      <c r="B524" s="4" t="s">
        <v>216</v>
      </c>
      <c r="C524" s="4" t="s">
        <v>1087</v>
      </c>
      <c r="D524" s="4"/>
      <c r="E524" s="7" t="s">
        <v>1088</v>
      </c>
      <c r="F524" s="7" t="s">
        <v>1089</v>
      </c>
      <c r="G524" s="3" t="s">
        <v>55</v>
      </c>
      <c r="H524" s="3"/>
      <c r="I524" s="3"/>
      <c r="J524" s="3"/>
      <c r="K524" s="3"/>
      <c r="L524" s="3"/>
      <c r="M524" s="3"/>
      <c r="N524" s="3"/>
      <c r="O524" s="3"/>
      <c r="P524" s="3"/>
      <c r="Q524" s="3"/>
    </row>
    <row r="525" spans="1:17" ht="60" customHeight="1" x14ac:dyDescent="0.25">
      <c r="A525" s="9">
        <f>IF(F525="","",ROW()-19-COUNTBLANK($F$20:F525))</f>
        <v>465</v>
      </c>
      <c r="B525" s="4" t="s">
        <v>1064</v>
      </c>
      <c r="C525" s="4" t="s">
        <v>1090</v>
      </c>
      <c r="D525" s="4"/>
      <c r="E525" s="7" t="s">
        <v>1091</v>
      </c>
      <c r="F525" s="7" t="s">
        <v>1067</v>
      </c>
      <c r="G525" s="3" t="s">
        <v>55</v>
      </c>
      <c r="H525" s="3"/>
      <c r="I525" s="3"/>
      <c r="J525" s="3"/>
      <c r="K525" s="3"/>
      <c r="L525" s="3"/>
      <c r="M525" s="3"/>
      <c r="N525" s="3"/>
      <c r="O525" s="3"/>
      <c r="P525" s="3"/>
      <c r="Q525" s="3"/>
    </row>
    <row r="526" spans="1:17" ht="60" customHeight="1" x14ac:dyDescent="0.25">
      <c r="A526" s="9">
        <f>IF(F526="","",ROW()-19-COUNTBLANK($F$20:F526))</f>
        <v>466</v>
      </c>
      <c r="B526" s="4" t="s">
        <v>1068</v>
      </c>
      <c r="C526" s="4" t="s">
        <v>1092</v>
      </c>
      <c r="D526" s="4" t="s">
        <v>1082</v>
      </c>
      <c r="E526" s="7" t="s">
        <v>1093</v>
      </c>
      <c r="F526" s="7" t="s">
        <v>1084</v>
      </c>
      <c r="G526" s="3" t="s">
        <v>55</v>
      </c>
      <c r="H526" s="3"/>
      <c r="I526" s="3"/>
      <c r="J526" s="3"/>
      <c r="K526" s="3"/>
      <c r="L526" s="3"/>
      <c r="M526" s="3"/>
      <c r="N526" s="3"/>
      <c r="O526" s="3"/>
      <c r="P526" s="3"/>
      <c r="Q526" s="3"/>
    </row>
    <row r="527" spans="1:17" ht="60" customHeight="1" x14ac:dyDescent="0.25">
      <c r="A527" s="9">
        <f>IF(F527="","",ROW()-19-COUNTBLANK($F$20:F527))</f>
        <v>467</v>
      </c>
      <c r="B527" s="4" t="s">
        <v>1072</v>
      </c>
      <c r="C527" s="4" t="s">
        <v>1094</v>
      </c>
      <c r="D527" s="4"/>
      <c r="E527" s="7" t="s">
        <v>1088</v>
      </c>
      <c r="F527" s="7" t="s">
        <v>1095</v>
      </c>
      <c r="G527" s="3" t="s">
        <v>73</v>
      </c>
      <c r="H527" s="3"/>
      <c r="I527" s="3"/>
      <c r="J527" s="3"/>
      <c r="K527" s="3"/>
      <c r="L527" s="3"/>
      <c r="M527" s="3"/>
      <c r="N527" s="3"/>
      <c r="O527" s="3"/>
      <c r="P527" s="3"/>
      <c r="Q527" s="3"/>
    </row>
    <row r="528" spans="1:17" ht="20.100000000000001" customHeight="1" x14ac:dyDescent="0.25">
      <c r="A528" s="9" t="str">
        <f>IF(F528="","",ROW()-19-COUNTBLANK($F$20:F528))</f>
        <v/>
      </c>
      <c r="B528" s="12" t="s">
        <v>1096</v>
      </c>
      <c r="C528" s="12"/>
      <c r="D528" s="12"/>
      <c r="E528" s="12"/>
      <c r="F528" s="12"/>
      <c r="G528" s="12"/>
      <c r="H528" s="12"/>
      <c r="I528" s="12"/>
      <c r="J528" s="12"/>
      <c r="K528" s="12"/>
      <c r="L528" s="12"/>
      <c r="M528" s="12"/>
      <c r="N528" s="12"/>
      <c r="O528" s="12"/>
      <c r="P528" s="12"/>
      <c r="Q528" s="12"/>
    </row>
    <row r="529" spans="1:17" ht="60" customHeight="1" x14ac:dyDescent="0.25">
      <c r="A529" s="9">
        <f>IF(F529="","",ROW()-19-COUNTBLANK($F$20:F529))</f>
        <v>468</v>
      </c>
      <c r="B529" s="4" t="s">
        <v>216</v>
      </c>
      <c r="C529" s="4" t="s">
        <v>1097</v>
      </c>
      <c r="D529" s="4"/>
      <c r="E529" s="7" t="s">
        <v>1098</v>
      </c>
      <c r="F529" s="7" t="s">
        <v>1099</v>
      </c>
      <c r="G529" s="3" t="s">
        <v>55</v>
      </c>
      <c r="H529" s="3"/>
      <c r="I529" s="3"/>
      <c r="J529" s="3"/>
      <c r="K529" s="3"/>
      <c r="L529" s="3"/>
      <c r="M529" s="3"/>
      <c r="N529" s="3"/>
      <c r="O529" s="3"/>
      <c r="P529" s="3"/>
      <c r="Q529" s="3"/>
    </row>
    <row r="530" spans="1:17" ht="60" customHeight="1" x14ac:dyDescent="0.25">
      <c r="A530" s="9">
        <f>IF(F530="","",ROW()-19-COUNTBLANK($F$20:F530))</f>
        <v>469</v>
      </c>
      <c r="B530" s="4" t="s">
        <v>1064</v>
      </c>
      <c r="C530" s="4" t="s">
        <v>1100</v>
      </c>
      <c r="D530" s="4"/>
      <c r="E530" s="7" t="s">
        <v>1101</v>
      </c>
      <c r="F530" s="7" t="s">
        <v>1067</v>
      </c>
      <c r="G530" s="3" t="s">
        <v>55</v>
      </c>
      <c r="H530" s="3"/>
      <c r="I530" s="3"/>
      <c r="J530" s="3"/>
      <c r="K530" s="3"/>
      <c r="L530" s="3"/>
      <c r="M530" s="3"/>
      <c r="N530" s="3"/>
      <c r="O530" s="3"/>
      <c r="P530" s="3"/>
      <c r="Q530" s="3"/>
    </row>
    <row r="531" spans="1:17" ht="60" customHeight="1" x14ac:dyDescent="0.25">
      <c r="A531" s="9">
        <f>IF(F531="","",ROW()-19-COUNTBLANK($F$20:F531))</f>
        <v>470</v>
      </c>
      <c r="B531" s="4" t="s">
        <v>1068</v>
      </c>
      <c r="C531" s="4" t="s">
        <v>1102</v>
      </c>
      <c r="D531" s="4" t="s">
        <v>1082</v>
      </c>
      <c r="E531" s="7" t="s">
        <v>1103</v>
      </c>
      <c r="F531" s="7" t="s">
        <v>1084</v>
      </c>
      <c r="G531" s="3" t="s">
        <v>55</v>
      </c>
      <c r="H531" s="3"/>
      <c r="I531" s="3"/>
      <c r="J531" s="3"/>
      <c r="K531" s="3"/>
      <c r="L531" s="3"/>
      <c r="M531" s="3"/>
      <c r="N531" s="3"/>
      <c r="O531" s="3"/>
      <c r="P531" s="3"/>
      <c r="Q531" s="3"/>
    </row>
    <row r="532" spans="1:17" ht="60" customHeight="1" x14ac:dyDescent="0.25">
      <c r="A532" s="9">
        <f>IF(F532="","",ROW()-19-COUNTBLANK($F$20:F532))</f>
        <v>471</v>
      </c>
      <c r="B532" s="4" t="s">
        <v>1072</v>
      </c>
      <c r="C532" s="4" t="s">
        <v>1104</v>
      </c>
      <c r="D532" s="4"/>
      <c r="E532" s="7" t="s">
        <v>1098</v>
      </c>
      <c r="F532" s="7" t="s">
        <v>1095</v>
      </c>
      <c r="G532" s="3" t="s">
        <v>73</v>
      </c>
      <c r="H532" s="3"/>
      <c r="I532" s="3"/>
      <c r="J532" s="3"/>
      <c r="K532" s="3"/>
      <c r="L532" s="3"/>
      <c r="M532" s="3"/>
      <c r="N532" s="3"/>
      <c r="O532" s="3"/>
      <c r="P532" s="3"/>
      <c r="Q532" s="3"/>
    </row>
    <row r="533" spans="1:17" ht="20.100000000000001" customHeight="1" x14ac:dyDescent="0.25">
      <c r="A533" s="9" t="str">
        <f>IF(F533="","",ROW()-19-COUNTBLANK($F$20:F533))</f>
        <v/>
      </c>
      <c r="B533" s="12" t="s">
        <v>1105</v>
      </c>
      <c r="C533" s="12"/>
      <c r="D533" s="12"/>
      <c r="E533" s="12"/>
      <c r="F533" s="12"/>
      <c r="G533" s="12"/>
      <c r="H533" s="12"/>
      <c r="I533" s="12"/>
      <c r="J533" s="12"/>
      <c r="K533" s="12"/>
      <c r="L533" s="12"/>
      <c r="M533" s="12"/>
      <c r="N533" s="12"/>
      <c r="O533" s="12"/>
      <c r="P533" s="12"/>
      <c r="Q533" s="12"/>
    </row>
    <row r="534" spans="1:17" ht="60" customHeight="1" x14ac:dyDescent="0.25">
      <c r="A534" s="9">
        <f>IF(F534="","",ROW()-19-COUNTBLANK($F$20:F534))</f>
        <v>472</v>
      </c>
      <c r="B534" s="4" t="s">
        <v>216</v>
      </c>
      <c r="C534" s="4" t="s">
        <v>1106</v>
      </c>
      <c r="D534" s="4"/>
      <c r="E534" s="7" t="s">
        <v>1107</v>
      </c>
      <c r="F534" s="7" t="s">
        <v>1108</v>
      </c>
      <c r="G534" s="3" t="s">
        <v>55</v>
      </c>
      <c r="H534" s="3"/>
      <c r="I534" s="3"/>
      <c r="J534" s="3"/>
      <c r="K534" s="3"/>
      <c r="L534" s="3"/>
      <c r="M534" s="3"/>
      <c r="N534" s="3"/>
      <c r="O534" s="3"/>
      <c r="P534" s="3"/>
      <c r="Q534" s="3"/>
    </row>
    <row r="535" spans="1:17" ht="60" customHeight="1" x14ac:dyDescent="0.25">
      <c r="A535" s="9">
        <f>IF(F535="","",ROW()-19-COUNTBLANK($F$20:F535))</f>
        <v>473</v>
      </c>
      <c r="B535" s="4" t="s">
        <v>1064</v>
      </c>
      <c r="C535" s="4" t="s">
        <v>1109</v>
      </c>
      <c r="D535" s="4"/>
      <c r="E535" s="7" t="s">
        <v>1110</v>
      </c>
      <c r="F535" s="7" t="s">
        <v>1067</v>
      </c>
      <c r="G535" s="3" t="s">
        <v>55</v>
      </c>
      <c r="H535" s="3"/>
      <c r="I535" s="3"/>
      <c r="J535" s="3"/>
      <c r="K535" s="3"/>
      <c r="L535" s="3"/>
      <c r="M535" s="3"/>
      <c r="N535" s="3"/>
      <c r="O535" s="3"/>
      <c r="P535" s="3"/>
      <c r="Q535" s="3"/>
    </row>
    <row r="536" spans="1:17" ht="60" customHeight="1" x14ac:dyDescent="0.25">
      <c r="A536" s="9">
        <f>IF(F536="","",ROW()-19-COUNTBLANK($F$20:F536))</f>
        <v>474</v>
      </c>
      <c r="B536" s="4" t="s">
        <v>1068</v>
      </c>
      <c r="C536" s="4" t="s">
        <v>1111</v>
      </c>
      <c r="D536" s="4" t="s">
        <v>1082</v>
      </c>
      <c r="E536" s="7" t="s">
        <v>1112</v>
      </c>
      <c r="F536" s="7" t="s">
        <v>1084</v>
      </c>
      <c r="G536" s="3" t="s">
        <v>55</v>
      </c>
      <c r="H536" s="3"/>
      <c r="I536" s="3"/>
      <c r="J536" s="3"/>
      <c r="K536" s="3"/>
      <c r="L536" s="3"/>
      <c r="M536" s="3"/>
      <c r="N536" s="3"/>
      <c r="O536" s="3"/>
      <c r="P536" s="3"/>
      <c r="Q536" s="3"/>
    </row>
    <row r="537" spans="1:17" ht="60" customHeight="1" x14ac:dyDescent="0.25">
      <c r="A537" s="9">
        <f>IF(F537="","",ROW()-19-COUNTBLANK($F$20:F537))</f>
        <v>475</v>
      </c>
      <c r="B537" s="4" t="s">
        <v>1072</v>
      </c>
      <c r="C537" s="4" t="s">
        <v>1113</v>
      </c>
      <c r="D537" s="4"/>
      <c r="E537" s="7" t="s">
        <v>1107</v>
      </c>
      <c r="F537" s="7" t="s">
        <v>1095</v>
      </c>
      <c r="G537" s="3" t="s">
        <v>73</v>
      </c>
      <c r="H537" s="3"/>
      <c r="I537" s="3"/>
      <c r="J537" s="3"/>
      <c r="K537" s="3"/>
      <c r="L537" s="3"/>
      <c r="M537" s="3"/>
      <c r="N537" s="3"/>
      <c r="O537" s="3"/>
      <c r="P537" s="3"/>
      <c r="Q537" s="3"/>
    </row>
    <row r="538" spans="1:17" ht="20.100000000000001" customHeight="1" x14ac:dyDescent="0.25">
      <c r="A538" s="9" t="str">
        <f>IF(F538="","",ROW()-19-COUNTBLANK($F$20:F538))</f>
        <v/>
      </c>
      <c r="B538" s="12" t="s">
        <v>1114</v>
      </c>
      <c r="C538" s="12"/>
      <c r="D538" s="12"/>
      <c r="E538" s="12"/>
      <c r="F538" s="12"/>
      <c r="G538" s="12"/>
      <c r="H538" s="12"/>
      <c r="I538" s="12"/>
      <c r="J538" s="12"/>
      <c r="K538" s="12"/>
      <c r="L538" s="12"/>
      <c r="M538" s="12"/>
      <c r="N538" s="12"/>
      <c r="O538" s="12"/>
      <c r="P538" s="12"/>
      <c r="Q538" s="12"/>
    </row>
    <row r="539" spans="1:17" ht="60" customHeight="1" x14ac:dyDescent="0.25">
      <c r="A539" s="9">
        <f>IF(F539="","",ROW()-19-COUNTBLANK($F$20:F539))</f>
        <v>476</v>
      </c>
      <c r="B539" s="4" t="s">
        <v>216</v>
      </c>
      <c r="C539" s="4" t="s">
        <v>1115</v>
      </c>
      <c r="D539" s="4"/>
      <c r="E539" s="7" t="s">
        <v>1116</v>
      </c>
      <c r="F539" s="7" t="s">
        <v>1117</v>
      </c>
      <c r="G539" s="3" t="s">
        <v>55</v>
      </c>
      <c r="H539" s="3"/>
      <c r="I539" s="3"/>
      <c r="J539" s="3"/>
      <c r="K539" s="3"/>
      <c r="L539" s="3"/>
      <c r="M539" s="3"/>
      <c r="N539" s="3"/>
      <c r="O539" s="3"/>
      <c r="P539" s="3"/>
      <c r="Q539" s="3"/>
    </row>
    <row r="540" spans="1:17" ht="60" customHeight="1" x14ac:dyDescent="0.25">
      <c r="A540" s="9">
        <f>IF(F540="","",ROW()-19-COUNTBLANK($F$20:F540))</f>
        <v>477</v>
      </c>
      <c r="B540" s="4" t="s">
        <v>1064</v>
      </c>
      <c r="C540" s="4" t="s">
        <v>1118</v>
      </c>
      <c r="D540" s="4"/>
      <c r="E540" s="7" t="s">
        <v>1119</v>
      </c>
      <c r="F540" s="7" t="s">
        <v>1067</v>
      </c>
      <c r="G540" s="3" t="s">
        <v>55</v>
      </c>
      <c r="H540" s="3"/>
      <c r="I540" s="3"/>
      <c r="J540" s="3"/>
      <c r="K540" s="3"/>
      <c r="L540" s="3"/>
      <c r="M540" s="3"/>
      <c r="N540" s="3"/>
      <c r="O540" s="3"/>
      <c r="P540" s="3"/>
      <c r="Q540" s="3"/>
    </row>
    <row r="541" spans="1:17" ht="60" customHeight="1" x14ac:dyDescent="0.25">
      <c r="A541" s="9">
        <f>IF(F541="","",ROW()-19-COUNTBLANK($F$20:F541))</f>
        <v>478</v>
      </c>
      <c r="B541" s="4" t="s">
        <v>1068</v>
      </c>
      <c r="C541" s="4" t="s">
        <v>1120</v>
      </c>
      <c r="D541" s="4" t="s">
        <v>1082</v>
      </c>
      <c r="E541" s="7" t="s">
        <v>1121</v>
      </c>
      <c r="F541" s="7" t="s">
        <v>1084</v>
      </c>
      <c r="G541" s="3" t="s">
        <v>55</v>
      </c>
      <c r="H541" s="3"/>
      <c r="I541" s="3"/>
      <c r="J541" s="3"/>
      <c r="K541" s="3"/>
      <c r="L541" s="3"/>
      <c r="M541" s="3"/>
      <c r="N541" s="3"/>
      <c r="O541" s="3"/>
      <c r="P541" s="3"/>
      <c r="Q541" s="3"/>
    </row>
    <row r="542" spans="1:17" ht="60" customHeight="1" x14ac:dyDescent="0.25">
      <c r="A542" s="9">
        <f>IF(F542="","",ROW()-19-COUNTBLANK($F$20:F542))</f>
        <v>479</v>
      </c>
      <c r="B542" s="4" t="s">
        <v>1072</v>
      </c>
      <c r="C542" s="4" t="s">
        <v>1122</v>
      </c>
      <c r="D542" s="4"/>
      <c r="E542" s="7" t="s">
        <v>1116</v>
      </c>
      <c r="F542" s="7" t="s">
        <v>1095</v>
      </c>
      <c r="G542" s="3" t="s">
        <v>73</v>
      </c>
      <c r="H542" s="3"/>
      <c r="I542" s="3"/>
      <c r="J542" s="3"/>
      <c r="K542" s="3"/>
      <c r="L542" s="3"/>
      <c r="M542" s="3"/>
      <c r="N542" s="3"/>
      <c r="O542" s="3"/>
      <c r="P542" s="3"/>
      <c r="Q542" s="3"/>
    </row>
    <row r="543" spans="1:17" ht="20.100000000000001" customHeight="1" x14ac:dyDescent="0.25">
      <c r="A543" s="9" t="str">
        <f>IF(F543="","",ROW()-19-COUNTBLANK($F$20:F543))</f>
        <v/>
      </c>
      <c r="B543" s="12" t="s">
        <v>1123</v>
      </c>
      <c r="C543" s="12"/>
      <c r="D543" s="12"/>
      <c r="E543" s="12"/>
      <c r="F543" s="12"/>
      <c r="G543" s="12"/>
      <c r="H543" s="12"/>
      <c r="I543" s="12"/>
      <c r="J543" s="12"/>
      <c r="K543" s="12"/>
      <c r="L543" s="12"/>
      <c r="M543" s="12"/>
      <c r="N543" s="12"/>
      <c r="O543" s="12"/>
      <c r="P543" s="12"/>
      <c r="Q543" s="12"/>
    </row>
    <row r="544" spans="1:17" ht="60" customHeight="1" x14ac:dyDescent="0.25">
      <c r="A544" s="9">
        <f>IF(F544="","",ROW()-19-COUNTBLANK($F$20:F544))</f>
        <v>480</v>
      </c>
      <c r="B544" s="4" t="s">
        <v>216</v>
      </c>
      <c r="C544" s="4" t="s">
        <v>1124</v>
      </c>
      <c r="D544" s="4"/>
      <c r="E544" s="7" t="s">
        <v>1125</v>
      </c>
      <c r="F544" s="7" t="s">
        <v>1126</v>
      </c>
      <c r="G544" s="3" t="s">
        <v>55</v>
      </c>
      <c r="H544" s="3"/>
      <c r="I544" s="3"/>
      <c r="J544" s="3"/>
      <c r="K544" s="3"/>
      <c r="L544" s="3"/>
      <c r="M544" s="3"/>
      <c r="N544" s="3"/>
      <c r="O544" s="3"/>
      <c r="P544" s="3"/>
      <c r="Q544" s="3"/>
    </row>
    <row r="545" spans="1:17" ht="60" customHeight="1" x14ac:dyDescent="0.25">
      <c r="A545" s="9">
        <f>IF(F545="","",ROW()-19-COUNTBLANK($F$20:F545))</f>
        <v>481</v>
      </c>
      <c r="B545" s="4" t="s">
        <v>1064</v>
      </c>
      <c r="C545" s="4" t="s">
        <v>1127</v>
      </c>
      <c r="D545" s="4"/>
      <c r="E545" s="7" t="s">
        <v>1128</v>
      </c>
      <c r="F545" s="7" t="s">
        <v>1067</v>
      </c>
      <c r="G545" s="3" t="s">
        <v>55</v>
      </c>
      <c r="H545" s="3"/>
      <c r="I545" s="3"/>
      <c r="J545" s="3"/>
      <c r="K545" s="3"/>
      <c r="L545" s="3"/>
      <c r="M545" s="3"/>
      <c r="N545" s="3"/>
      <c r="O545" s="3"/>
      <c r="P545" s="3"/>
      <c r="Q545" s="3"/>
    </row>
    <row r="546" spans="1:17" ht="60" customHeight="1" x14ac:dyDescent="0.25">
      <c r="A546" s="9">
        <f>IF(F546="","",ROW()-19-COUNTBLANK($F$20:F546))</f>
        <v>482</v>
      </c>
      <c r="B546" s="4" t="s">
        <v>1068</v>
      </c>
      <c r="C546" s="4" t="s">
        <v>1129</v>
      </c>
      <c r="D546" s="4" t="s">
        <v>1082</v>
      </c>
      <c r="E546" s="7" t="s">
        <v>1130</v>
      </c>
      <c r="F546" s="7" t="s">
        <v>1084</v>
      </c>
      <c r="G546" s="3" t="s">
        <v>55</v>
      </c>
      <c r="H546" s="3"/>
      <c r="I546" s="3"/>
      <c r="J546" s="3"/>
      <c r="K546" s="3"/>
      <c r="L546" s="3"/>
      <c r="M546" s="3"/>
      <c r="N546" s="3"/>
      <c r="O546" s="3"/>
      <c r="P546" s="3"/>
      <c r="Q546" s="3"/>
    </row>
    <row r="547" spans="1:17" ht="60" customHeight="1" x14ac:dyDescent="0.25">
      <c r="A547" s="9">
        <f>IF(F547="","",ROW()-19-COUNTBLANK($F$20:F547))</f>
        <v>483</v>
      </c>
      <c r="B547" s="4" t="s">
        <v>1072</v>
      </c>
      <c r="C547" s="4" t="s">
        <v>1131</v>
      </c>
      <c r="D547" s="4"/>
      <c r="E547" s="7" t="s">
        <v>1125</v>
      </c>
      <c r="F547" s="7" t="s">
        <v>1095</v>
      </c>
      <c r="G547" s="3" t="s">
        <v>73</v>
      </c>
      <c r="H547" s="3"/>
      <c r="I547" s="3"/>
      <c r="J547" s="3"/>
      <c r="K547" s="3"/>
      <c r="L547" s="3"/>
      <c r="M547" s="3"/>
      <c r="N547" s="3"/>
      <c r="O547" s="3"/>
      <c r="P547" s="3"/>
      <c r="Q547" s="3"/>
    </row>
    <row r="548" spans="1:17" ht="20.100000000000001" customHeight="1" x14ac:dyDescent="0.25">
      <c r="A548" s="9" t="str">
        <f>IF(F548="","",ROW()-19-COUNTBLANK($F$20:F548))</f>
        <v/>
      </c>
      <c r="B548" s="12" t="s">
        <v>1132</v>
      </c>
      <c r="C548" s="12"/>
      <c r="D548" s="12"/>
      <c r="E548" s="12"/>
      <c r="F548" s="12"/>
      <c r="G548" s="12"/>
      <c r="H548" s="12"/>
      <c r="I548" s="12"/>
      <c r="J548" s="12"/>
      <c r="K548" s="12"/>
      <c r="L548" s="12"/>
      <c r="M548" s="12"/>
      <c r="N548" s="12"/>
      <c r="O548" s="12"/>
      <c r="P548" s="12"/>
      <c r="Q548" s="12"/>
    </row>
    <row r="549" spans="1:17" ht="60" customHeight="1" x14ac:dyDescent="0.25">
      <c r="A549" s="9">
        <f>IF(F549="","",ROW()-19-COUNTBLANK($F$20:F549))</f>
        <v>484</v>
      </c>
      <c r="B549" s="4" t="s">
        <v>216</v>
      </c>
      <c r="C549" s="4" t="s">
        <v>1133</v>
      </c>
      <c r="D549" s="4"/>
      <c r="E549" s="7" t="s">
        <v>1134</v>
      </c>
      <c r="F549" s="7" t="s">
        <v>1135</v>
      </c>
      <c r="G549" s="3" t="s">
        <v>55</v>
      </c>
      <c r="H549" s="3"/>
      <c r="I549" s="3"/>
      <c r="J549" s="3"/>
      <c r="K549" s="3"/>
      <c r="L549" s="3"/>
      <c r="M549" s="3"/>
      <c r="N549" s="3"/>
      <c r="O549" s="3"/>
      <c r="P549" s="3"/>
      <c r="Q549" s="3"/>
    </row>
    <row r="550" spans="1:17" ht="60" customHeight="1" x14ac:dyDescent="0.25">
      <c r="A550" s="9">
        <f>IF(F550="","",ROW()-19-COUNTBLANK($F$20:F550))</f>
        <v>485</v>
      </c>
      <c r="B550" s="4" t="s">
        <v>1064</v>
      </c>
      <c r="C550" s="4" t="s">
        <v>1136</v>
      </c>
      <c r="D550" s="4"/>
      <c r="E550" s="7" t="s">
        <v>1137</v>
      </c>
      <c r="F550" s="7" t="s">
        <v>1067</v>
      </c>
      <c r="G550" s="3" t="s">
        <v>55</v>
      </c>
      <c r="H550" s="3"/>
      <c r="I550" s="3"/>
      <c r="J550" s="3"/>
      <c r="K550" s="3"/>
      <c r="L550" s="3"/>
      <c r="M550" s="3"/>
      <c r="N550" s="3"/>
      <c r="O550" s="3"/>
      <c r="P550" s="3"/>
      <c r="Q550" s="3"/>
    </row>
    <row r="551" spans="1:17" ht="60" customHeight="1" x14ac:dyDescent="0.25">
      <c r="A551" s="9">
        <f>IF(F551="","",ROW()-19-COUNTBLANK($F$20:F551))</f>
        <v>486</v>
      </c>
      <c r="B551" s="4" t="s">
        <v>1068</v>
      </c>
      <c r="C551" s="4" t="s">
        <v>1138</v>
      </c>
      <c r="D551" s="4" t="s">
        <v>1082</v>
      </c>
      <c r="E551" s="7" t="s">
        <v>1139</v>
      </c>
      <c r="F551" s="7" t="s">
        <v>1084</v>
      </c>
      <c r="G551" s="3" t="s">
        <v>55</v>
      </c>
      <c r="H551" s="3"/>
      <c r="I551" s="3"/>
      <c r="J551" s="3"/>
      <c r="K551" s="3"/>
      <c r="L551" s="3"/>
      <c r="M551" s="3"/>
      <c r="N551" s="3"/>
      <c r="O551" s="3"/>
      <c r="P551" s="3"/>
      <c r="Q551" s="3"/>
    </row>
    <row r="552" spans="1:17" ht="60" customHeight="1" x14ac:dyDescent="0.25">
      <c r="A552" s="9">
        <f>IF(F552="","",ROW()-19-COUNTBLANK($F$20:F552))</f>
        <v>487</v>
      </c>
      <c r="B552" s="4" t="s">
        <v>1072</v>
      </c>
      <c r="C552" s="4" t="s">
        <v>1140</v>
      </c>
      <c r="D552" s="4"/>
      <c r="E552" s="7" t="s">
        <v>1134</v>
      </c>
      <c r="F552" s="7" t="s">
        <v>1095</v>
      </c>
      <c r="G552" s="3" t="s">
        <v>73</v>
      </c>
      <c r="H552" s="3"/>
      <c r="I552" s="3"/>
      <c r="J552" s="3"/>
      <c r="K552" s="3"/>
      <c r="L552" s="3"/>
      <c r="M552" s="3"/>
      <c r="N552" s="3"/>
      <c r="O552" s="3"/>
      <c r="P552" s="3"/>
      <c r="Q552" s="3"/>
    </row>
    <row r="553" spans="1:17" ht="20.100000000000001" customHeight="1" x14ac:dyDescent="0.25">
      <c r="A553" s="9" t="str">
        <f>IF(F553="","",ROW()-19-COUNTBLANK($F$20:F553))</f>
        <v/>
      </c>
      <c r="B553" s="12" t="s">
        <v>1141</v>
      </c>
      <c r="C553" s="12"/>
      <c r="D553" s="12"/>
      <c r="E553" s="12"/>
      <c r="F553" s="12"/>
      <c r="G553" s="12"/>
      <c r="H553" s="12"/>
      <c r="I553" s="12"/>
      <c r="J553" s="12"/>
      <c r="K553" s="12"/>
      <c r="L553" s="12"/>
      <c r="M553" s="12"/>
      <c r="N553" s="12"/>
      <c r="O553" s="12"/>
      <c r="P553" s="12"/>
      <c r="Q553" s="12"/>
    </row>
    <row r="554" spans="1:17" ht="60" customHeight="1" x14ac:dyDescent="0.25">
      <c r="A554" s="9">
        <f>IF(F554="","",ROW()-19-COUNTBLANK($F$20:F554))</f>
        <v>488</v>
      </c>
      <c r="B554" s="4" t="s">
        <v>216</v>
      </c>
      <c r="C554" s="4" t="s">
        <v>1142</v>
      </c>
      <c r="D554" s="4"/>
      <c r="E554" s="7" t="s">
        <v>1143</v>
      </c>
      <c r="F554" s="7" t="s">
        <v>1144</v>
      </c>
      <c r="G554" s="3" t="s">
        <v>55</v>
      </c>
      <c r="H554" s="3"/>
      <c r="I554" s="3"/>
      <c r="J554" s="3"/>
      <c r="K554" s="3"/>
      <c r="L554" s="3"/>
      <c r="M554" s="3"/>
      <c r="N554" s="3"/>
      <c r="O554" s="3"/>
      <c r="P554" s="3"/>
      <c r="Q554" s="3"/>
    </row>
    <row r="555" spans="1:17" ht="60" customHeight="1" x14ac:dyDescent="0.25">
      <c r="A555" s="9">
        <f>IF(F555="","",ROW()-19-COUNTBLANK($F$20:F555))</f>
        <v>489</v>
      </c>
      <c r="B555" s="4" t="s">
        <v>1064</v>
      </c>
      <c r="C555" s="4" t="s">
        <v>1145</v>
      </c>
      <c r="D555" s="4"/>
      <c r="E555" s="7" t="s">
        <v>1146</v>
      </c>
      <c r="F555" s="7" t="s">
        <v>1067</v>
      </c>
      <c r="G555" s="3" t="s">
        <v>55</v>
      </c>
      <c r="H555" s="3"/>
      <c r="I555" s="3"/>
      <c r="J555" s="3"/>
      <c r="K555" s="3"/>
      <c r="L555" s="3"/>
      <c r="M555" s="3"/>
      <c r="N555" s="3"/>
      <c r="O555" s="3"/>
      <c r="P555" s="3"/>
      <c r="Q555" s="3"/>
    </row>
    <row r="556" spans="1:17" ht="60" customHeight="1" x14ac:dyDescent="0.25">
      <c r="A556" s="9">
        <f>IF(F556="","",ROW()-19-COUNTBLANK($F$20:F556))</f>
        <v>490</v>
      </c>
      <c r="B556" s="4" t="s">
        <v>1068</v>
      </c>
      <c r="C556" s="4" t="s">
        <v>1147</v>
      </c>
      <c r="D556" s="4" t="s">
        <v>1082</v>
      </c>
      <c r="E556" s="7" t="s">
        <v>1148</v>
      </c>
      <c r="F556" s="7" t="s">
        <v>1084</v>
      </c>
      <c r="G556" s="3" t="s">
        <v>55</v>
      </c>
      <c r="H556" s="3"/>
      <c r="I556" s="3"/>
      <c r="J556" s="3"/>
      <c r="K556" s="3"/>
      <c r="L556" s="3"/>
      <c r="M556" s="3"/>
      <c r="N556" s="3"/>
      <c r="O556" s="3"/>
      <c r="P556" s="3"/>
      <c r="Q556" s="3"/>
    </row>
    <row r="557" spans="1:17" ht="60" customHeight="1" x14ac:dyDescent="0.25">
      <c r="A557" s="9">
        <f>IF(F557="","",ROW()-19-COUNTBLANK($F$20:F557))</f>
        <v>491</v>
      </c>
      <c r="B557" s="4" t="s">
        <v>1072</v>
      </c>
      <c r="C557" s="4" t="s">
        <v>1149</v>
      </c>
      <c r="D557" s="4"/>
      <c r="E557" s="7" t="s">
        <v>1143</v>
      </c>
      <c r="F557" s="7" t="s">
        <v>1095</v>
      </c>
      <c r="G557" s="3" t="s">
        <v>73</v>
      </c>
      <c r="H557" s="3"/>
      <c r="I557" s="3"/>
      <c r="J557" s="3"/>
      <c r="K557" s="3"/>
      <c r="L557" s="3"/>
      <c r="M557" s="3"/>
      <c r="N557" s="3"/>
      <c r="O557" s="3"/>
      <c r="P557" s="3"/>
      <c r="Q557" s="3"/>
    </row>
    <row r="558" spans="1:17" ht="20.100000000000001" customHeight="1" x14ac:dyDescent="0.25">
      <c r="A558" s="9" t="str">
        <f>IF(F558="","",ROW()-19-COUNTBLANK($F$20:F558))</f>
        <v/>
      </c>
      <c r="B558" s="12" t="s">
        <v>1150</v>
      </c>
      <c r="C558" s="12"/>
      <c r="D558" s="12"/>
      <c r="E558" s="12"/>
      <c r="F558" s="12"/>
      <c r="G558" s="12"/>
      <c r="H558" s="12"/>
      <c r="I558" s="12"/>
      <c r="J558" s="12"/>
      <c r="K558" s="12"/>
      <c r="L558" s="12"/>
      <c r="M558" s="12"/>
      <c r="N558" s="12"/>
      <c r="O558" s="12"/>
      <c r="P558" s="12"/>
      <c r="Q558" s="12"/>
    </row>
    <row r="559" spans="1:17" ht="60" customHeight="1" x14ac:dyDescent="0.25">
      <c r="A559" s="9">
        <f>IF(F559="","",ROW()-19-COUNTBLANK($F$20:F559))</f>
        <v>492</v>
      </c>
      <c r="B559" s="4" t="s">
        <v>216</v>
      </c>
      <c r="C559" s="4" t="s">
        <v>1151</v>
      </c>
      <c r="D559" s="4"/>
      <c r="E559" s="7" t="s">
        <v>1152</v>
      </c>
      <c r="F559" s="7" t="s">
        <v>1153</v>
      </c>
      <c r="G559" s="3" t="s">
        <v>55</v>
      </c>
      <c r="H559" s="3"/>
      <c r="I559" s="3"/>
      <c r="J559" s="3"/>
      <c r="K559" s="3"/>
      <c r="L559" s="3"/>
      <c r="M559" s="3"/>
      <c r="N559" s="3"/>
      <c r="O559" s="3"/>
      <c r="P559" s="3"/>
      <c r="Q559" s="3"/>
    </row>
    <row r="560" spans="1:17" ht="60" customHeight="1" x14ac:dyDescent="0.25">
      <c r="A560" s="9">
        <f>IF(F560="","",ROW()-19-COUNTBLANK($F$20:F560))</f>
        <v>493</v>
      </c>
      <c r="B560" s="4" t="s">
        <v>1064</v>
      </c>
      <c r="C560" s="4" t="s">
        <v>1154</v>
      </c>
      <c r="D560" s="4"/>
      <c r="E560" s="7" t="s">
        <v>1155</v>
      </c>
      <c r="F560" s="7" t="s">
        <v>1067</v>
      </c>
      <c r="G560" s="3" t="s">
        <v>55</v>
      </c>
      <c r="H560" s="3"/>
      <c r="I560" s="3"/>
      <c r="J560" s="3"/>
      <c r="K560" s="3"/>
      <c r="L560" s="3"/>
      <c r="M560" s="3"/>
      <c r="N560" s="3"/>
      <c r="O560" s="3"/>
      <c r="P560" s="3"/>
      <c r="Q560" s="3"/>
    </row>
    <row r="561" spans="1:17" ht="60" customHeight="1" x14ac:dyDescent="0.25">
      <c r="A561" s="9">
        <f>IF(F561="","",ROW()-19-COUNTBLANK($F$20:F561))</f>
        <v>494</v>
      </c>
      <c r="B561" s="4" t="s">
        <v>1068</v>
      </c>
      <c r="C561" s="4" t="s">
        <v>1156</v>
      </c>
      <c r="D561" s="4" t="s">
        <v>1082</v>
      </c>
      <c r="E561" s="7" t="s">
        <v>1157</v>
      </c>
      <c r="F561" s="7" t="s">
        <v>1084</v>
      </c>
      <c r="G561" s="3" t="s">
        <v>55</v>
      </c>
      <c r="H561" s="3"/>
      <c r="I561" s="3"/>
      <c r="J561" s="3"/>
      <c r="K561" s="3"/>
      <c r="L561" s="3"/>
      <c r="M561" s="3"/>
      <c r="N561" s="3"/>
      <c r="O561" s="3"/>
      <c r="P561" s="3"/>
      <c r="Q561" s="3"/>
    </row>
    <row r="562" spans="1:17" ht="60" customHeight="1" x14ac:dyDescent="0.25">
      <c r="A562" s="9">
        <f>IF(F562="","",ROW()-19-COUNTBLANK($F$20:F562))</f>
        <v>495</v>
      </c>
      <c r="B562" s="4" t="s">
        <v>1072</v>
      </c>
      <c r="C562" s="4" t="s">
        <v>1158</v>
      </c>
      <c r="D562" s="4"/>
      <c r="E562" s="7" t="s">
        <v>1152</v>
      </c>
      <c r="F562" s="7" t="s">
        <v>1095</v>
      </c>
      <c r="G562" s="3" t="s">
        <v>73</v>
      </c>
      <c r="H562" s="3"/>
      <c r="I562" s="3"/>
      <c r="J562" s="3"/>
      <c r="K562" s="3"/>
      <c r="L562" s="3"/>
      <c r="M562" s="3"/>
      <c r="N562" s="3"/>
      <c r="O562" s="3"/>
      <c r="P562" s="3"/>
      <c r="Q562" s="3"/>
    </row>
    <row r="563" spans="1:17" ht="20.100000000000001" customHeight="1" x14ac:dyDescent="0.25">
      <c r="A563" s="9" t="str">
        <f>IF(F563="","",ROW()-19-COUNTBLANK($F$20:F563))</f>
        <v/>
      </c>
      <c r="B563" s="12" t="s">
        <v>1159</v>
      </c>
      <c r="C563" s="12"/>
      <c r="D563" s="12"/>
      <c r="E563" s="12"/>
      <c r="F563" s="12"/>
      <c r="G563" s="12"/>
      <c r="H563" s="12"/>
      <c r="I563" s="12"/>
      <c r="J563" s="12"/>
      <c r="K563" s="12"/>
      <c r="L563" s="12"/>
      <c r="M563" s="12"/>
      <c r="N563" s="12"/>
      <c r="O563" s="12"/>
      <c r="P563" s="12"/>
      <c r="Q563" s="12"/>
    </row>
    <row r="564" spans="1:17" ht="60" customHeight="1" x14ac:dyDescent="0.25">
      <c r="A564" s="9">
        <f>IF(F564="","",ROW()-19-COUNTBLANK($F$20:F564))</f>
        <v>496</v>
      </c>
      <c r="B564" s="4" t="s">
        <v>216</v>
      </c>
      <c r="C564" s="4" t="s">
        <v>1160</v>
      </c>
      <c r="D564" s="4"/>
      <c r="E564" s="7" t="s">
        <v>1161</v>
      </c>
      <c r="F564" s="7" t="s">
        <v>1162</v>
      </c>
      <c r="G564" s="3" t="s">
        <v>55</v>
      </c>
      <c r="H564" s="3"/>
      <c r="I564" s="3"/>
      <c r="J564" s="3"/>
      <c r="K564" s="3"/>
      <c r="L564" s="3"/>
      <c r="M564" s="3"/>
      <c r="N564" s="3"/>
      <c r="O564" s="3"/>
      <c r="P564" s="3"/>
      <c r="Q564" s="3"/>
    </row>
    <row r="565" spans="1:17" ht="60" customHeight="1" x14ac:dyDescent="0.25">
      <c r="A565" s="9">
        <f>IF(F565="","",ROW()-19-COUNTBLANK($F$20:F565))</f>
        <v>497</v>
      </c>
      <c r="B565" s="4" t="s">
        <v>1064</v>
      </c>
      <c r="C565" s="4" t="s">
        <v>1163</v>
      </c>
      <c r="D565" s="4"/>
      <c r="E565" s="7" t="s">
        <v>1164</v>
      </c>
      <c r="F565" s="7" t="s">
        <v>1067</v>
      </c>
      <c r="G565" s="3" t="s">
        <v>55</v>
      </c>
      <c r="H565" s="3"/>
      <c r="I565" s="3"/>
      <c r="J565" s="3"/>
      <c r="K565" s="3"/>
      <c r="L565" s="3"/>
      <c r="M565" s="3"/>
      <c r="N565" s="3"/>
      <c r="O565" s="3"/>
      <c r="P565" s="3"/>
      <c r="Q565" s="3"/>
    </row>
    <row r="566" spans="1:17" ht="60" customHeight="1" x14ac:dyDescent="0.25">
      <c r="A566" s="9">
        <f>IF(F566="","",ROW()-19-COUNTBLANK($F$20:F566))</f>
        <v>498</v>
      </c>
      <c r="B566" s="4" t="s">
        <v>1068</v>
      </c>
      <c r="C566" s="4" t="s">
        <v>1165</v>
      </c>
      <c r="D566" s="4" t="s">
        <v>1082</v>
      </c>
      <c r="E566" s="7" t="s">
        <v>1166</v>
      </c>
      <c r="F566" s="7" t="s">
        <v>1084</v>
      </c>
      <c r="G566" s="3" t="s">
        <v>55</v>
      </c>
      <c r="H566" s="3"/>
      <c r="I566" s="3"/>
      <c r="J566" s="3"/>
      <c r="K566" s="3"/>
      <c r="L566" s="3"/>
      <c r="M566" s="3"/>
      <c r="N566" s="3"/>
      <c r="O566" s="3"/>
      <c r="P566" s="3"/>
      <c r="Q566" s="3"/>
    </row>
    <row r="567" spans="1:17" ht="60" customHeight="1" x14ac:dyDescent="0.25">
      <c r="A567" s="9">
        <f>IF(F567="","",ROW()-19-COUNTBLANK($F$20:F567))</f>
        <v>499</v>
      </c>
      <c r="B567" s="4" t="s">
        <v>1072</v>
      </c>
      <c r="C567" s="4" t="s">
        <v>1167</v>
      </c>
      <c r="D567" s="4"/>
      <c r="E567" s="7" t="s">
        <v>1161</v>
      </c>
      <c r="F567" s="7" t="s">
        <v>1095</v>
      </c>
      <c r="G567" s="3" t="s">
        <v>73</v>
      </c>
      <c r="H567" s="3"/>
      <c r="I567" s="3"/>
      <c r="J567" s="3"/>
      <c r="K567" s="3"/>
      <c r="L567" s="3"/>
      <c r="M567" s="3"/>
      <c r="N567" s="3"/>
      <c r="O567" s="3"/>
      <c r="P567" s="3"/>
      <c r="Q567" s="3"/>
    </row>
    <row r="568" spans="1:17" ht="20.100000000000001" customHeight="1" x14ac:dyDescent="0.25">
      <c r="A568" s="9" t="str">
        <f>IF(F568="","",ROW()-19-COUNTBLANK($F$20:F568))</f>
        <v/>
      </c>
      <c r="B568" s="12" t="s">
        <v>1168</v>
      </c>
      <c r="C568" s="12"/>
      <c r="D568" s="12"/>
      <c r="E568" s="12"/>
      <c r="F568" s="12"/>
      <c r="G568" s="12"/>
      <c r="H568" s="12"/>
      <c r="I568" s="12"/>
      <c r="J568" s="12"/>
      <c r="K568" s="12"/>
      <c r="L568" s="12"/>
      <c r="M568" s="12"/>
      <c r="N568" s="12"/>
      <c r="O568" s="12"/>
      <c r="P568" s="12"/>
      <c r="Q568" s="12"/>
    </row>
    <row r="569" spans="1:17" ht="60" customHeight="1" x14ac:dyDescent="0.25">
      <c r="A569" s="9">
        <f>IF(F569="","",ROW()-19-COUNTBLANK($F$20:F569))</f>
        <v>500</v>
      </c>
      <c r="B569" s="4" t="s">
        <v>216</v>
      </c>
      <c r="C569" s="4" t="s">
        <v>1169</v>
      </c>
      <c r="D569" s="4"/>
      <c r="E569" s="7" t="s">
        <v>1170</v>
      </c>
      <c r="F569" s="7" t="s">
        <v>1171</v>
      </c>
      <c r="G569" s="3" t="s">
        <v>55</v>
      </c>
      <c r="H569" s="3"/>
      <c r="I569" s="3"/>
      <c r="J569" s="3"/>
      <c r="K569" s="3"/>
      <c r="L569" s="3"/>
      <c r="M569" s="3"/>
      <c r="N569" s="3"/>
      <c r="O569" s="3"/>
      <c r="P569" s="3"/>
      <c r="Q569" s="3"/>
    </row>
    <row r="570" spans="1:17" ht="60" customHeight="1" x14ac:dyDescent="0.25">
      <c r="A570" s="9">
        <f>IF(F570="","",ROW()-19-COUNTBLANK($F$20:F570))</f>
        <v>501</v>
      </c>
      <c r="B570" s="4" t="s">
        <v>1064</v>
      </c>
      <c r="C570" s="4" t="s">
        <v>1172</v>
      </c>
      <c r="D570" s="4"/>
      <c r="E570" s="7" t="s">
        <v>1173</v>
      </c>
      <c r="F570" s="7" t="s">
        <v>1067</v>
      </c>
      <c r="G570" s="3" t="s">
        <v>55</v>
      </c>
      <c r="H570" s="3"/>
      <c r="I570" s="3"/>
      <c r="J570" s="3"/>
      <c r="K570" s="3"/>
      <c r="L570" s="3"/>
      <c r="M570" s="3"/>
      <c r="N570" s="3"/>
      <c r="O570" s="3"/>
      <c r="P570" s="3"/>
      <c r="Q570" s="3"/>
    </row>
    <row r="571" spans="1:17" ht="60" customHeight="1" x14ac:dyDescent="0.25">
      <c r="A571" s="9">
        <f>IF(F571="","",ROW()-19-COUNTBLANK($F$20:F571))</f>
        <v>502</v>
      </c>
      <c r="B571" s="4" t="s">
        <v>1068</v>
      </c>
      <c r="C571" s="4" t="s">
        <v>1174</v>
      </c>
      <c r="D571" s="4" t="s">
        <v>1082</v>
      </c>
      <c r="E571" s="7" t="s">
        <v>1175</v>
      </c>
      <c r="F571" s="7" t="s">
        <v>1084</v>
      </c>
      <c r="G571" s="3" t="s">
        <v>55</v>
      </c>
      <c r="H571" s="3"/>
      <c r="I571" s="3"/>
      <c r="J571" s="3"/>
      <c r="K571" s="3"/>
      <c r="L571" s="3"/>
      <c r="M571" s="3"/>
      <c r="N571" s="3"/>
      <c r="O571" s="3"/>
      <c r="P571" s="3"/>
      <c r="Q571" s="3"/>
    </row>
    <row r="572" spans="1:17" ht="60" customHeight="1" x14ac:dyDescent="0.25">
      <c r="A572" s="9">
        <f>IF(F572="","",ROW()-19-COUNTBLANK($F$20:F572))</f>
        <v>503</v>
      </c>
      <c r="B572" s="4" t="s">
        <v>1072</v>
      </c>
      <c r="C572" s="4" t="s">
        <v>1176</v>
      </c>
      <c r="D572" s="4"/>
      <c r="E572" s="7" t="s">
        <v>1170</v>
      </c>
      <c r="F572" s="7" t="s">
        <v>1095</v>
      </c>
      <c r="G572" s="3" t="s">
        <v>73</v>
      </c>
      <c r="H572" s="3"/>
      <c r="I572" s="3"/>
      <c r="J572" s="3"/>
      <c r="K572" s="3"/>
      <c r="L572" s="3"/>
      <c r="M572" s="3"/>
      <c r="N572" s="3"/>
      <c r="O572" s="3"/>
      <c r="P572" s="3"/>
      <c r="Q572" s="3"/>
    </row>
    <row r="573" spans="1:17" ht="20.100000000000001" customHeight="1" x14ac:dyDescent="0.25">
      <c r="A573" s="9" t="str">
        <f>IF(F573="","",ROW()-19-COUNTBLANK($F$20:F573))</f>
        <v/>
      </c>
      <c r="B573" s="12" t="s">
        <v>1177</v>
      </c>
      <c r="C573" s="12"/>
      <c r="D573" s="12"/>
      <c r="E573" s="12"/>
      <c r="F573" s="12"/>
      <c r="G573" s="12"/>
      <c r="H573" s="12"/>
      <c r="I573" s="12"/>
      <c r="J573" s="12"/>
      <c r="K573" s="12"/>
      <c r="L573" s="12"/>
      <c r="M573" s="12"/>
      <c r="N573" s="12"/>
      <c r="O573" s="12"/>
      <c r="P573" s="12"/>
      <c r="Q573" s="12"/>
    </row>
    <row r="574" spans="1:17" ht="60" customHeight="1" x14ac:dyDescent="0.25">
      <c r="A574" s="9">
        <f>IF(F574="","",ROW()-19-COUNTBLANK($F$20:F574))</f>
        <v>504</v>
      </c>
      <c r="B574" s="4" t="s">
        <v>216</v>
      </c>
      <c r="C574" s="4" t="s">
        <v>1178</v>
      </c>
      <c r="D574" s="4"/>
      <c r="E574" s="7" t="s">
        <v>1179</v>
      </c>
      <c r="F574" s="7" t="s">
        <v>1180</v>
      </c>
      <c r="G574" s="3" t="s">
        <v>55</v>
      </c>
      <c r="H574" s="3"/>
      <c r="I574" s="3"/>
      <c r="J574" s="3"/>
      <c r="K574" s="3"/>
      <c r="L574" s="3"/>
      <c r="M574" s="3"/>
      <c r="N574" s="3"/>
      <c r="O574" s="3"/>
      <c r="P574" s="3"/>
      <c r="Q574" s="3"/>
    </row>
    <row r="575" spans="1:17" ht="60" customHeight="1" x14ac:dyDescent="0.25">
      <c r="A575" s="9">
        <f>IF(F575="","",ROW()-19-COUNTBLANK($F$20:F575))</f>
        <v>505</v>
      </c>
      <c r="B575" s="4" t="s">
        <v>1064</v>
      </c>
      <c r="C575" s="4" t="s">
        <v>1181</v>
      </c>
      <c r="D575" s="4"/>
      <c r="E575" s="7" t="s">
        <v>1182</v>
      </c>
      <c r="F575" s="7" t="s">
        <v>1067</v>
      </c>
      <c r="G575" s="3" t="s">
        <v>55</v>
      </c>
      <c r="H575" s="3"/>
      <c r="I575" s="3"/>
      <c r="J575" s="3"/>
      <c r="K575" s="3"/>
      <c r="L575" s="3"/>
      <c r="M575" s="3"/>
      <c r="N575" s="3"/>
      <c r="O575" s="3"/>
      <c r="P575" s="3"/>
      <c r="Q575" s="3"/>
    </row>
    <row r="576" spans="1:17" ht="60" customHeight="1" x14ac:dyDescent="0.25">
      <c r="A576" s="9">
        <f>IF(F576="","",ROW()-19-COUNTBLANK($F$20:F576))</f>
        <v>506</v>
      </c>
      <c r="B576" s="4" t="s">
        <v>1068</v>
      </c>
      <c r="C576" s="4" t="s">
        <v>1183</v>
      </c>
      <c r="D576" s="4" t="s">
        <v>1082</v>
      </c>
      <c r="E576" s="7" t="s">
        <v>1184</v>
      </c>
      <c r="F576" s="7" t="s">
        <v>1084</v>
      </c>
      <c r="G576" s="3" t="s">
        <v>55</v>
      </c>
      <c r="H576" s="3"/>
      <c r="I576" s="3"/>
      <c r="J576" s="3"/>
      <c r="K576" s="3"/>
      <c r="L576" s="3"/>
      <c r="M576" s="3"/>
      <c r="N576" s="3"/>
      <c r="O576" s="3"/>
      <c r="P576" s="3"/>
      <c r="Q576" s="3"/>
    </row>
    <row r="577" spans="1:17" ht="60" customHeight="1" x14ac:dyDescent="0.25">
      <c r="A577" s="9">
        <f>IF(F577="","",ROW()-19-COUNTBLANK($F$20:F577))</f>
        <v>507</v>
      </c>
      <c r="B577" s="4" t="s">
        <v>1072</v>
      </c>
      <c r="C577" s="4" t="s">
        <v>1185</v>
      </c>
      <c r="D577" s="4"/>
      <c r="E577" s="7" t="s">
        <v>1179</v>
      </c>
      <c r="F577" s="7" t="s">
        <v>1074</v>
      </c>
      <c r="G577" s="3" t="s">
        <v>73</v>
      </c>
      <c r="H577" s="3"/>
      <c r="I577" s="3"/>
      <c r="J577" s="3"/>
      <c r="K577" s="3"/>
      <c r="L577" s="3"/>
      <c r="M577" s="3"/>
      <c r="N577" s="3"/>
      <c r="O577" s="3"/>
      <c r="P577" s="3"/>
      <c r="Q577" s="3"/>
    </row>
    <row r="578" spans="1:17" ht="20.100000000000001" customHeight="1" x14ac:dyDescent="0.25">
      <c r="A578" s="9" t="str">
        <f>IF(F578="","",ROW()-19-COUNTBLANK($F$20:F578))</f>
        <v/>
      </c>
      <c r="B578" s="12" t="s">
        <v>1186</v>
      </c>
      <c r="C578" s="12"/>
      <c r="D578" s="12"/>
      <c r="E578" s="12"/>
      <c r="F578" s="12"/>
      <c r="G578" s="12"/>
      <c r="H578" s="12"/>
      <c r="I578" s="12"/>
      <c r="J578" s="12"/>
      <c r="K578" s="12"/>
      <c r="L578" s="12"/>
      <c r="M578" s="12"/>
      <c r="N578" s="12"/>
      <c r="O578" s="12"/>
      <c r="P578" s="12"/>
      <c r="Q578" s="12"/>
    </row>
    <row r="579" spans="1:17" ht="60" customHeight="1" x14ac:dyDescent="0.25">
      <c r="A579" s="9">
        <f>IF(F579="","",ROW()-19-COUNTBLANK($F$20:F579))</f>
        <v>508</v>
      </c>
      <c r="B579" s="4" t="s">
        <v>216</v>
      </c>
      <c r="C579" s="4" t="s">
        <v>1187</v>
      </c>
      <c r="D579" s="4"/>
      <c r="E579" s="7" t="s">
        <v>1188</v>
      </c>
      <c r="F579" s="7" t="s">
        <v>1189</v>
      </c>
      <c r="G579" s="3" t="s">
        <v>55</v>
      </c>
      <c r="H579" s="3"/>
      <c r="I579" s="3"/>
      <c r="J579" s="3"/>
      <c r="K579" s="3"/>
      <c r="L579" s="3"/>
      <c r="M579" s="3"/>
      <c r="N579" s="3"/>
      <c r="O579" s="3"/>
      <c r="P579" s="3"/>
      <c r="Q579" s="3"/>
    </row>
    <row r="580" spans="1:17" ht="60" customHeight="1" x14ac:dyDescent="0.25">
      <c r="A580" s="9">
        <f>IF(F580="","",ROW()-19-COUNTBLANK($F$20:F580))</f>
        <v>509</v>
      </c>
      <c r="B580" s="4" t="s">
        <v>1064</v>
      </c>
      <c r="C580" s="4" t="s">
        <v>1190</v>
      </c>
      <c r="D580" s="4"/>
      <c r="E580" s="7" t="s">
        <v>1191</v>
      </c>
      <c r="F580" s="7" t="s">
        <v>1067</v>
      </c>
      <c r="G580" s="3" t="s">
        <v>55</v>
      </c>
      <c r="H580" s="3"/>
      <c r="I580" s="3"/>
      <c r="J580" s="3"/>
      <c r="K580" s="3"/>
      <c r="L580" s="3"/>
      <c r="M580" s="3"/>
      <c r="N580" s="3"/>
      <c r="O580" s="3"/>
      <c r="P580" s="3"/>
      <c r="Q580" s="3"/>
    </row>
    <row r="581" spans="1:17" ht="60" customHeight="1" x14ac:dyDescent="0.25">
      <c r="A581" s="9">
        <f>IF(F581="","",ROW()-19-COUNTBLANK($F$20:F581))</f>
        <v>510</v>
      </c>
      <c r="B581" s="4" t="s">
        <v>1068</v>
      </c>
      <c r="C581" s="4" t="s">
        <v>1192</v>
      </c>
      <c r="D581" s="4" t="s">
        <v>1082</v>
      </c>
      <c r="E581" s="7" t="s">
        <v>1193</v>
      </c>
      <c r="F581" s="7" t="s">
        <v>1084</v>
      </c>
      <c r="G581" s="3" t="s">
        <v>55</v>
      </c>
      <c r="H581" s="3"/>
      <c r="I581" s="3"/>
      <c r="J581" s="3"/>
      <c r="K581" s="3"/>
      <c r="L581" s="3"/>
      <c r="M581" s="3"/>
      <c r="N581" s="3"/>
      <c r="O581" s="3"/>
      <c r="P581" s="3"/>
      <c r="Q581" s="3"/>
    </row>
    <row r="582" spans="1:17" ht="60" customHeight="1" x14ac:dyDescent="0.25">
      <c r="A582" s="9">
        <f>IF(F582="","",ROW()-19-COUNTBLANK($F$20:F582))</f>
        <v>511</v>
      </c>
      <c r="B582" s="4" t="s">
        <v>1072</v>
      </c>
      <c r="C582" s="4" t="s">
        <v>1194</v>
      </c>
      <c r="D582" s="4"/>
      <c r="E582" s="7" t="s">
        <v>1188</v>
      </c>
      <c r="F582" s="7" t="s">
        <v>1074</v>
      </c>
      <c r="G582" s="3" t="s">
        <v>73</v>
      </c>
      <c r="H582" s="3"/>
      <c r="I582" s="3"/>
      <c r="J582" s="3"/>
      <c r="K582" s="3"/>
      <c r="L582" s="3"/>
      <c r="M582" s="3"/>
      <c r="N582" s="3"/>
      <c r="O582" s="3"/>
      <c r="P582" s="3"/>
      <c r="Q582" s="3"/>
    </row>
    <row r="583" spans="1:17" ht="20.100000000000001" customHeight="1" x14ac:dyDescent="0.25">
      <c r="A583" s="9" t="str">
        <f>IF(F583="","",ROW()-19-COUNTBLANK($F$20:F583))</f>
        <v/>
      </c>
      <c r="B583" s="12" t="s">
        <v>1195</v>
      </c>
      <c r="C583" s="12"/>
      <c r="D583" s="12"/>
      <c r="E583" s="12"/>
      <c r="F583" s="12"/>
      <c r="G583" s="12"/>
      <c r="H583" s="12"/>
      <c r="I583" s="12"/>
      <c r="J583" s="12"/>
      <c r="K583" s="12"/>
      <c r="L583" s="12"/>
      <c r="M583" s="12"/>
      <c r="N583" s="12"/>
      <c r="O583" s="12"/>
      <c r="P583" s="12"/>
      <c r="Q583" s="12"/>
    </row>
    <row r="584" spans="1:17" ht="60" customHeight="1" x14ac:dyDescent="0.25">
      <c r="A584" s="9">
        <f>IF(F584="","",ROW()-19-COUNTBLANK($F$20:F584))</f>
        <v>512</v>
      </c>
      <c r="B584" s="4" t="s">
        <v>216</v>
      </c>
      <c r="C584" s="4" t="s">
        <v>1196</v>
      </c>
      <c r="D584" s="4"/>
      <c r="E584" s="7" t="s">
        <v>1197</v>
      </c>
      <c r="F584" s="7" t="s">
        <v>1198</v>
      </c>
      <c r="G584" s="3" t="s">
        <v>55</v>
      </c>
      <c r="H584" s="3"/>
      <c r="I584" s="3"/>
      <c r="J584" s="3"/>
      <c r="K584" s="3"/>
      <c r="L584" s="3"/>
      <c r="M584" s="3"/>
      <c r="N584" s="3"/>
      <c r="O584" s="3"/>
      <c r="P584" s="3"/>
      <c r="Q584" s="3"/>
    </row>
    <row r="585" spans="1:17" ht="60" customHeight="1" x14ac:dyDescent="0.25">
      <c r="A585" s="9">
        <f>IF(F585="","",ROW()-19-COUNTBLANK($F$20:F585))</f>
        <v>513</v>
      </c>
      <c r="B585" s="4" t="s">
        <v>1064</v>
      </c>
      <c r="C585" s="4" t="s">
        <v>1199</v>
      </c>
      <c r="D585" s="4"/>
      <c r="E585" s="7" t="s">
        <v>1200</v>
      </c>
      <c r="F585" s="7" t="s">
        <v>1067</v>
      </c>
      <c r="G585" s="3" t="s">
        <v>55</v>
      </c>
      <c r="H585" s="3"/>
      <c r="I585" s="3"/>
      <c r="J585" s="3"/>
      <c r="K585" s="3"/>
      <c r="L585" s="3"/>
      <c r="M585" s="3"/>
      <c r="N585" s="3"/>
      <c r="O585" s="3"/>
      <c r="P585" s="3"/>
      <c r="Q585" s="3"/>
    </row>
    <row r="586" spans="1:17" ht="60" customHeight="1" x14ac:dyDescent="0.25">
      <c r="A586" s="9">
        <f>IF(F586="","",ROW()-19-COUNTBLANK($F$20:F586))</f>
        <v>514</v>
      </c>
      <c r="B586" s="4" t="s">
        <v>1068</v>
      </c>
      <c r="C586" s="4" t="s">
        <v>1201</v>
      </c>
      <c r="D586" s="4" t="s">
        <v>1082</v>
      </c>
      <c r="E586" s="7" t="s">
        <v>1202</v>
      </c>
      <c r="F586" s="7" t="s">
        <v>1084</v>
      </c>
      <c r="G586" s="3" t="s">
        <v>55</v>
      </c>
      <c r="H586" s="3"/>
      <c r="I586" s="3"/>
      <c r="J586" s="3"/>
      <c r="K586" s="3"/>
      <c r="L586" s="3"/>
      <c r="M586" s="3"/>
      <c r="N586" s="3"/>
      <c r="O586" s="3"/>
      <c r="P586" s="3"/>
      <c r="Q586" s="3"/>
    </row>
    <row r="587" spans="1:17" ht="60" customHeight="1" x14ac:dyDescent="0.25">
      <c r="A587" s="9">
        <f>IF(F587="","",ROW()-19-COUNTBLANK($F$20:F587))</f>
        <v>515</v>
      </c>
      <c r="B587" s="4" t="s">
        <v>1072</v>
      </c>
      <c r="C587" s="4" t="s">
        <v>1203</v>
      </c>
      <c r="D587" s="4"/>
      <c r="E587" s="7" t="s">
        <v>1197</v>
      </c>
      <c r="F587" s="7" t="s">
        <v>1095</v>
      </c>
      <c r="G587" s="3" t="s">
        <v>73</v>
      </c>
      <c r="H587" s="3"/>
      <c r="I587" s="3"/>
      <c r="J587" s="3"/>
      <c r="K587" s="3"/>
      <c r="L587" s="3"/>
      <c r="M587" s="3"/>
      <c r="N587" s="3"/>
      <c r="O587" s="3"/>
      <c r="P587" s="3"/>
      <c r="Q587" s="3"/>
    </row>
    <row r="588" spans="1:17" ht="20.100000000000001" customHeight="1" x14ac:dyDescent="0.25">
      <c r="A588" s="9" t="str">
        <f>IF(F588="","",ROW()-19-COUNTBLANK($F$20:F588))</f>
        <v/>
      </c>
      <c r="B588" s="12" t="s">
        <v>1204</v>
      </c>
      <c r="C588" s="12"/>
      <c r="D588" s="12"/>
      <c r="E588" s="12"/>
      <c r="F588" s="12"/>
      <c r="G588" s="12"/>
      <c r="H588" s="12"/>
      <c r="I588" s="12"/>
      <c r="J588" s="12"/>
      <c r="K588" s="12"/>
      <c r="L588" s="12"/>
      <c r="M588" s="12"/>
      <c r="N588" s="12"/>
      <c r="O588" s="12"/>
      <c r="P588" s="12"/>
      <c r="Q588" s="12"/>
    </row>
    <row r="589" spans="1:17" ht="60" customHeight="1" x14ac:dyDescent="0.25">
      <c r="A589" s="9">
        <f>IF(F589="","",ROW()-19-COUNTBLANK($F$20:F589))</f>
        <v>516</v>
      </c>
      <c r="B589" s="4" t="s">
        <v>216</v>
      </c>
      <c r="C589" s="4" t="s">
        <v>1205</v>
      </c>
      <c r="D589" s="4"/>
      <c r="E589" s="7" t="s">
        <v>1206</v>
      </c>
      <c r="F589" s="7" t="s">
        <v>1207</v>
      </c>
      <c r="G589" s="3" t="s">
        <v>55</v>
      </c>
      <c r="H589" s="3"/>
      <c r="I589" s="3"/>
      <c r="J589" s="3"/>
      <c r="K589" s="3"/>
      <c r="L589" s="3"/>
      <c r="M589" s="3"/>
      <c r="N589" s="3"/>
      <c r="O589" s="3"/>
      <c r="P589" s="3"/>
      <c r="Q589" s="3"/>
    </row>
    <row r="590" spans="1:17" ht="60" customHeight="1" x14ac:dyDescent="0.25">
      <c r="A590" s="9">
        <f>IF(F590="","",ROW()-19-COUNTBLANK($F$20:F590))</f>
        <v>517</v>
      </c>
      <c r="B590" s="4" t="s">
        <v>1208</v>
      </c>
      <c r="C590" s="4" t="s">
        <v>1209</v>
      </c>
      <c r="D590" s="4"/>
      <c r="E590" s="7" t="s">
        <v>1210</v>
      </c>
      <c r="F590" s="7" t="s">
        <v>1211</v>
      </c>
      <c r="G590" s="3" t="s">
        <v>55</v>
      </c>
      <c r="H590" s="3"/>
      <c r="I590" s="3"/>
      <c r="J590" s="3"/>
      <c r="K590" s="3"/>
      <c r="L590" s="3"/>
      <c r="M590" s="3"/>
      <c r="N590" s="3"/>
      <c r="O590" s="3"/>
      <c r="P590" s="3"/>
      <c r="Q590" s="3"/>
    </row>
    <row r="591" spans="1:17" ht="60" customHeight="1" x14ac:dyDescent="0.25">
      <c r="A591" s="9">
        <f>IF(F591="","",ROW()-19-COUNTBLANK($F$20:F591))</f>
        <v>518</v>
      </c>
      <c r="B591" s="4" t="s">
        <v>1212</v>
      </c>
      <c r="C591" s="4" t="s">
        <v>1213</v>
      </c>
      <c r="D591" s="4"/>
      <c r="E591" s="7" t="s">
        <v>1214</v>
      </c>
      <c r="F591" s="7" t="s">
        <v>1215</v>
      </c>
      <c r="G591" s="3" t="s">
        <v>50</v>
      </c>
      <c r="H591" s="3"/>
      <c r="I591" s="3"/>
      <c r="J591" s="3"/>
      <c r="K591" s="3"/>
      <c r="L591" s="3"/>
      <c r="M591" s="3"/>
      <c r="N591" s="3"/>
      <c r="O591" s="3"/>
      <c r="P591" s="3"/>
      <c r="Q591" s="3"/>
    </row>
    <row r="592" spans="1:17" ht="20.100000000000001" customHeight="1" x14ac:dyDescent="0.25">
      <c r="A592" s="9" t="str">
        <f>IF(F592="","",ROW()-19-COUNTBLANK($F$20:F592))</f>
        <v/>
      </c>
      <c r="B592" s="12" t="s">
        <v>1216</v>
      </c>
      <c r="C592" s="12"/>
      <c r="D592" s="12"/>
      <c r="E592" s="12"/>
      <c r="F592" s="12"/>
      <c r="G592" s="12"/>
      <c r="H592" s="12"/>
      <c r="I592" s="12"/>
      <c r="J592" s="12"/>
      <c r="K592" s="12"/>
      <c r="L592" s="12"/>
      <c r="M592" s="12"/>
      <c r="N592" s="12"/>
      <c r="O592" s="12"/>
      <c r="P592" s="12"/>
      <c r="Q592" s="12"/>
    </row>
    <row r="593" spans="1:17" ht="60" customHeight="1" x14ac:dyDescent="0.25">
      <c r="A593" s="9">
        <f>IF(F593="","",ROW()-19-COUNTBLANK($F$20:F593))</f>
        <v>519</v>
      </c>
      <c r="B593" s="4" t="s">
        <v>1217</v>
      </c>
      <c r="C593" s="4" t="s">
        <v>1218</v>
      </c>
      <c r="D593" s="4"/>
      <c r="E593" s="7" t="s">
        <v>1219</v>
      </c>
      <c r="F593" s="7" t="s">
        <v>1220</v>
      </c>
      <c r="G593" s="3" t="s">
        <v>55</v>
      </c>
      <c r="H593" s="3"/>
      <c r="I593" s="3"/>
      <c r="J593" s="3"/>
      <c r="K593" s="3"/>
      <c r="L593" s="3"/>
      <c r="M593" s="3"/>
      <c r="N593" s="3"/>
      <c r="O593" s="3"/>
      <c r="P593" s="3"/>
      <c r="Q593" s="3"/>
    </row>
    <row r="594" spans="1:17" ht="60" customHeight="1" x14ac:dyDescent="0.25">
      <c r="A594" s="9">
        <f>IF(F594="","",ROW()-19-COUNTBLANK($F$20:F594))</f>
        <v>520</v>
      </c>
      <c r="B594" s="4" t="s">
        <v>1221</v>
      </c>
      <c r="C594" s="4" t="s">
        <v>1222</v>
      </c>
      <c r="D594" s="4" t="s">
        <v>1223</v>
      </c>
      <c r="E594" s="7" t="s">
        <v>1224</v>
      </c>
      <c r="F594" s="7" t="s">
        <v>1225</v>
      </c>
      <c r="G594" s="3" t="s">
        <v>50</v>
      </c>
      <c r="H594" s="3"/>
      <c r="I594" s="3"/>
      <c r="J594" s="3"/>
      <c r="K594" s="3"/>
      <c r="L594" s="3"/>
      <c r="M594" s="3"/>
      <c r="N594" s="3"/>
      <c r="O594" s="3"/>
      <c r="P594" s="3"/>
      <c r="Q594" s="3"/>
    </row>
    <row r="595" spans="1:17" ht="60" customHeight="1" x14ac:dyDescent="0.25">
      <c r="A595" s="9">
        <f>IF(F595="","",ROW()-19-COUNTBLANK($F$20:F595))</f>
        <v>521</v>
      </c>
      <c r="B595" s="4" t="s">
        <v>1226</v>
      </c>
      <c r="C595" s="4" t="s">
        <v>1227</v>
      </c>
      <c r="D595" s="4"/>
      <c r="E595" s="7" t="s">
        <v>1228</v>
      </c>
      <c r="F595" s="7" t="s">
        <v>1229</v>
      </c>
      <c r="G595" s="3" t="s">
        <v>50</v>
      </c>
      <c r="H595" s="3"/>
      <c r="I595" s="3"/>
      <c r="J595" s="3"/>
      <c r="K595" s="3"/>
      <c r="L595" s="3"/>
      <c r="M595" s="3"/>
      <c r="N595" s="3"/>
      <c r="O595" s="3"/>
      <c r="P595" s="3"/>
      <c r="Q595" s="3"/>
    </row>
    <row r="596" spans="1:17" ht="20.100000000000001" customHeight="1" x14ac:dyDescent="0.25">
      <c r="A596" s="9" t="str">
        <f>IF(F596="","",ROW()-19-COUNTBLANK($F$20:F596))</f>
        <v/>
      </c>
      <c r="B596" s="12" t="s">
        <v>1230</v>
      </c>
      <c r="C596" s="12"/>
      <c r="D596" s="12"/>
      <c r="E596" s="12"/>
      <c r="F596" s="12"/>
      <c r="G596" s="12"/>
      <c r="H596" s="12"/>
      <c r="I596" s="12"/>
      <c r="J596" s="12"/>
      <c r="K596" s="12"/>
      <c r="L596" s="12"/>
      <c r="M596" s="12"/>
      <c r="N596" s="12"/>
      <c r="O596" s="12"/>
      <c r="P596" s="12"/>
      <c r="Q596" s="12"/>
    </row>
    <row r="597" spans="1:17" ht="60" customHeight="1" x14ac:dyDescent="0.25">
      <c r="A597" s="9">
        <f>IF(F597="","",ROW()-19-COUNTBLANK($F$20:F597))</f>
        <v>522</v>
      </c>
      <c r="B597" s="4" t="s">
        <v>1217</v>
      </c>
      <c r="C597" s="4" t="s">
        <v>1231</v>
      </c>
      <c r="D597" s="4"/>
      <c r="E597" s="7" t="s">
        <v>1219</v>
      </c>
      <c r="F597" s="7" t="s">
        <v>1232</v>
      </c>
      <c r="G597" s="3" t="s">
        <v>55</v>
      </c>
      <c r="H597" s="3"/>
      <c r="I597" s="3"/>
      <c r="J597" s="3"/>
      <c r="K597" s="3"/>
      <c r="L597" s="3"/>
      <c r="M597" s="3"/>
      <c r="N597" s="3"/>
      <c r="O597" s="3"/>
      <c r="P597" s="3"/>
      <c r="Q597" s="3"/>
    </row>
    <row r="598" spans="1:17" ht="60" customHeight="1" x14ac:dyDescent="0.25">
      <c r="A598" s="9">
        <f>IF(F598="","",ROW()-19-COUNTBLANK($F$20:F598))</f>
        <v>523</v>
      </c>
      <c r="B598" s="4" t="s">
        <v>1221</v>
      </c>
      <c r="C598" s="4" t="s">
        <v>1233</v>
      </c>
      <c r="D598" s="4" t="s">
        <v>1223</v>
      </c>
      <c r="E598" s="7" t="s">
        <v>1224</v>
      </c>
      <c r="F598" s="7" t="s">
        <v>1234</v>
      </c>
      <c r="G598" s="3" t="s">
        <v>50</v>
      </c>
      <c r="H598" s="3"/>
      <c r="I598" s="3"/>
      <c r="J598" s="3"/>
      <c r="K598" s="3"/>
      <c r="L598" s="3"/>
      <c r="M598" s="3"/>
      <c r="N598" s="3"/>
      <c r="O598" s="3"/>
      <c r="P598" s="3"/>
      <c r="Q598" s="3"/>
    </row>
    <row r="599" spans="1:17" ht="60" customHeight="1" x14ac:dyDescent="0.25">
      <c r="A599" s="9">
        <f>IF(F599="","",ROW()-19-COUNTBLANK($F$20:F599))</f>
        <v>524</v>
      </c>
      <c r="B599" s="4" t="s">
        <v>1226</v>
      </c>
      <c r="C599" s="4" t="s">
        <v>1235</v>
      </c>
      <c r="D599" s="4"/>
      <c r="E599" s="7" t="s">
        <v>1236</v>
      </c>
      <c r="F599" s="7" t="s">
        <v>1237</v>
      </c>
      <c r="G599" s="3" t="s">
        <v>50</v>
      </c>
      <c r="H599" s="3"/>
      <c r="I599" s="3"/>
      <c r="J599" s="3"/>
      <c r="K599" s="3"/>
      <c r="L599" s="3"/>
      <c r="M599" s="3"/>
      <c r="N599" s="3"/>
      <c r="O599" s="3"/>
      <c r="P599" s="3"/>
      <c r="Q599" s="3"/>
    </row>
    <row r="600" spans="1:17" ht="20.100000000000001" customHeight="1" x14ac:dyDescent="0.25">
      <c r="A600" s="9" t="str">
        <f>IF(F600="","",ROW()-19-COUNTBLANK($F$20:F600))</f>
        <v/>
      </c>
      <c r="B600" s="12" t="s">
        <v>1238</v>
      </c>
      <c r="C600" s="12"/>
      <c r="D600" s="12"/>
      <c r="E600" s="12"/>
      <c r="F600" s="12"/>
      <c r="G600" s="12"/>
      <c r="H600" s="12"/>
      <c r="I600" s="12"/>
      <c r="J600" s="12"/>
      <c r="K600" s="12"/>
      <c r="L600" s="12"/>
      <c r="M600" s="12"/>
      <c r="N600" s="12"/>
      <c r="O600" s="12"/>
      <c r="P600" s="12"/>
      <c r="Q600" s="12"/>
    </row>
    <row r="601" spans="1:17" ht="60" customHeight="1" x14ac:dyDescent="0.25">
      <c r="A601" s="9">
        <f>IF(F601="","",ROW()-19-COUNTBLANK($F$20:F601))</f>
        <v>525</v>
      </c>
      <c r="B601" s="4" t="s">
        <v>1239</v>
      </c>
      <c r="C601" s="4" t="s">
        <v>1240</v>
      </c>
      <c r="D601" s="4" t="s">
        <v>1241</v>
      </c>
      <c r="E601" s="7" t="s">
        <v>1179</v>
      </c>
      <c r="F601" s="7" t="s">
        <v>1242</v>
      </c>
      <c r="G601" s="3" t="s">
        <v>55</v>
      </c>
      <c r="H601" s="3"/>
      <c r="I601" s="3"/>
      <c r="J601" s="3"/>
      <c r="K601" s="3"/>
      <c r="L601" s="3"/>
      <c r="M601" s="3"/>
      <c r="N601" s="3"/>
      <c r="O601" s="3"/>
      <c r="P601" s="3"/>
      <c r="Q601" s="3"/>
    </row>
    <row r="602" spans="1:17" ht="60" customHeight="1" x14ac:dyDescent="0.25">
      <c r="A602" s="9">
        <f>IF(F602="","",ROW()-19-COUNTBLANK($F$20:F602))</f>
        <v>526</v>
      </c>
      <c r="B602" s="4" t="s">
        <v>1243</v>
      </c>
      <c r="C602" s="4" t="s">
        <v>1244</v>
      </c>
      <c r="D602" s="4"/>
      <c r="E602" s="7" t="s">
        <v>1245</v>
      </c>
      <c r="F602" s="7" t="s">
        <v>1246</v>
      </c>
      <c r="G602" s="3" t="s">
        <v>73</v>
      </c>
      <c r="H602" s="3"/>
      <c r="I602" s="3"/>
      <c r="J602" s="3"/>
      <c r="K602" s="3"/>
      <c r="L602" s="3"/>
      <c r="M602" s="3"/>
      <c r="N602" s="3"/>
      <c r="O602" s="3"/>
      <c r="P602" s="3"/>
      <c r="Q602" s="3"/>
    </row>
    <row r="603" spans="1:17" ht="20.100000000000001" customHeight="1" x14ac:dyDescent="0.25">
      <c r="A603" s="11"/>
      <c r="B603" s="22" t="s">
        <v>1247</v>
      </c>
      <c r="C603" s="23"/>
      <c r="D603" s="23"/>
      <c r="E603" s="23"/>
      <c r="F603" s="24"/>
      <c r="G603" s="11"/>
      <c r="H603" s="11"/>
      <c r="I603" s="11"/>
      <c r="J603" s="11"/>
      <c r="K603" s="11"/>
      <c r="L603" s="11"/>
      <c r="M603" s="11"/>
      <c r="N603" s="11"/>
      <c r="O603" s="11"/>
      <c r="P603" s="11"/>
      <c r="Q603" s="11"/>
    </row>
    <row r="604" spans="1:17" ht="20.100000000000001" customHeight="1" x14ac:dyDescent="0.25">
      <c r="A604" s="9" t="str">
        <f>IF(F604="","",ROW()-19-COUNTBLANK($F$20:F604))</f>
        <v/>
      </c>
      <c r="B604" s="12" t="s">
        <v>1248</v>
      </c>
      <c r="C604" s="12"/>
      <c r="D604" s="12"/>
      <c r="E604" s="12"/>
      <c r="F604" s="12"/>
      <c r="G604" s="12"/>
      <c r="H604" s="12"/>
      <c r="I604" s="12"/>
      <c r="J604" s="12"/>
      <c r="K604" s="12"/>
      <c r="L604" s="12"/>
      <c r="M604" s="12"/>
      <c r="N604" s="12"/>
      <c r="O604" s="12"/>
      <c r="P604" s="12"/>
      <c r="Q604" s="12"/>
    </row>
    <row r="605" spans="1:17" ht="60" customHeight="1" x14ac:dyDescent="0.25">
      <c r="A605" s="9">
        <f>IF(F605="","",ROW()-19-COUNTBLANK($F$20:F605))</f>
        <v>527</v>
      </c>
      <c r="B605" s="4" t="s">
        <v>1249</v>
      </c>
      <c r="C605" s="4" t="s">
        <v>1250</v>
      </c>
      <c r="D605" s="4" t="s">
        <v>1251</v>
      </c>
      <c r="E605" s="7" t="s">
        <v>1252</v>
      </c>
      <c r="F605" s="7" t="s">
        <v>1253</v>
      </c>
      <c r="G605" s="3" t="s">
        <v>50</v>
      </c>
      <c r="H605" s="3"/>
      <c r="I605" s="3"/>
      <c r="J605" s="3"/>
      <c r="K605" s="3"/>
      <c r="L605" s="3"/>
      <c r="M605" s="3"/>
      <c r="N605" s="3"/>
      <c r="O605" s="3"/>
      <c r="P605" s="3"/>
      <c r="Q605" s="3"/>
    </row>
    <row r="606" spans="1:17" ht="60" customHeight="1" x14ac:dyDescent="0.25">
      <c r="A606" s="9">
        <f>IF(F606="","",ROW()-19-COUNTBLANK($F$20:F606))</f>
        <v>528</v>
      </c>
      <c r="B606" s="4" t="s">
        <v>1254</v>
      </c>
      <c r="C606" s="4" t="s">
        <v>1255</v>
      </c>
      <c r="D606" s="4" t="s">
        <v>1256</v>
      </c>
      <c r="E606" s="7" t="s">
        <v>1257</v>
      </c>
      <c r="F606" s="7" t="s">
        <v>1258</v>
      </c>
      <c r="G606" s="3" t="s">
        <v>50</v>
      </c>
      <c r="H606" s="3"/>
      <c r="I606" s="3"/>
      <c r="J606" s="3"/>
      <c r="K606" s="3"/>
      <c r="L606" s="3"/>
      <c r="M606" s="3"/>
      <c r="N606" s="3"/>
      <c r="O606" s="3"/>
      <c r="P606" s="3"/>
      <c r="Q606" s="3"/>
    </row>
    <row r="607" spans="1:17" ht="60" customHeight="1" x14ac:dyDescent="0.25">
      <c r="A607" s="9">
        <f>IF(F607="","",ROW()-19-COUNTBLANK($F$20:F607))</f>
        <v>529</v>
      </c>
      <c r="B607" s="4" t="s">
        <v>1259</v>
      </c>
      <c r="C607" s="4" t="s">
        <v>1260</v>
      </c>
      <c r="D607" s="4" t="s">
        <v>1261</v>
      </c>
      <c r="E607" s="7" t="s">
        <v>1262</v>
      </c>
      <c r="F607" s="7" t="s">
        <v>1263</v>
      </c>
      <c r="G607" s="3" t="s">
        <v>50</v>
      </c>
      <c r="H607" s="3"/>
      <c r="I607" s="3"/>
      <c r="J607" s="3"/>
      <c r="K607" s="3"/>
      <c r="L607" s="3"/>
      <c r="M607" s="3"/>
      <c r="N607" s="3"/>
      <c r="O607" s="3"/>
      <c r="P607" s="3"/>
      <c r="Q607" s="3"/>
    </row>
    <row r="608" spans="1:17" ht="60" customHeight="1" x14ac:dyDescent="0.25">
      <c r="A608" s="9">
        <f>IF(F608="","",ROW()-19-COUNTBLANK($F$20:F608))</f>
        <v>530</v>
      </c>
      <c r="B608" s="4" t="s">
        <v>1264</v>
      </c>
      <c r="C608" s="4" t="s">
        <v>1265</v>
      </c>
      <c r="D608" s="4" t="s">
        <v>1266</v>
      </c>
      <c r="E608" s="7" t="s">
        <v>1267</v>
      </c>
      <c r="F608" s="7" t="s">
        <v>1268</v>
      </c>
      <c r="G608" s="3" t="s">
        <v>50</v>
      </c>
      <c r="H608" s="3"/>
      <c r="I608" s="3"/>
      <c r="J608" s="3"/>
      <c r="K608" s="3"/>
      <c r="L608" s="3"/>
      <c r="M608" s="3"/>
      <c r="N608" s="3"/>
      <c r="O608" s="3"/>
      <c r="P608" s="3"/>
      <c r="Q608" s="3"/>
    </row>
    <row r="609" spans="1:17" ht="60" customHeight="1" x14ac:dyDescent="0.25">
      <c r="A609" s="9">
        <f>IF(F609="","",ROW()-19-COUNTBLANK($F$20:F609))</f>
        <v>531</v>
      </c>
      <c r="B609" s="4" t="s">
        <v>1269</v>
      </c>
      <c r="C609" s="4" t="s">
        <v>1270</v>
      </c>
      <c r="D609" s="4" t="s">
        <v>1271</v>
      </c>
      <c r="E609" s="7" t="s">
        <v>1272</v>
      </c>
      <c r="F609" s="7" t="s">
        <v>1273</v>
      </c>
      <c r="G609" s="3" t="s">
        <v>50</v>
      </c>
      <c r="H609" s="3"/>
      <c r="I609" s="3"/>
      <c r="J609" s="3"/>
      <c r="K609" s="3"/>
      <c r="L609" s="3"/>
      <c r="M609" s="3"/>
      <c r="N609" s="3"/>
      <c r="O609" s="3"/>
      <c r="P609" s="3"/>
      <c r="Q609" s="3"/>
    </row>
    <row r="610" spans="1:17" ht="60" customHeight="1" x14ac:dyDescent="0.25">
      <c r="A610" s="9">
        <f>IF(F610="","",ROW()-19-COUNTBLANK($F$20:F610))</f>
        <v>532</v>
      </c>
      <c r="B610" s="4" t="s">
        <v>1274</v>
      </c>
      <c r="C610" s="4" t="s">
        <v>1275</v>
      </c>
      <c r="D610" s="4" t="s">
        <v>1276</v>
      </c>
      <c r="E610" s="7" t="s">
        <v>1277</v>
      </c>
      <c r="F610" s="7" t="s">
        <v>1278</v>
      </c>
      <c r="G610" s="3" t="s">
        <v>50</v>
      </c>
      <c r="H610" s="3"/>
      <c r="I610" s="3"/>
      <c r="J610" s="3"/>
      <c r="K610" s="3"/>
      <c r="L610" s="3"/>
      <c r="M610" s="3"/>
      <c r="N610" s="3"/>
      <c r="O610" s="3"/>
      <c r="P610" s="3"/>
      <c r="Q610" s="3"/>
    </row>
    <row r="611" spans="1:17" ht="60" customHeight="1" x14ac:dyDescent="0.25">
      <c r="A611" s="9">
        <f>IF(F611="","",ROW()-19-COUNTBLANK($F$20:F611))</f>
        <v>533</v>
      </c>
      <c r="B611" s="4" t="s">
        <v>1279</v>
      </c>
      <c r="C611" s="4" t="s">
        <v>1280</v>
      </c>
      <c r="D611" s="4" t="s">
        <v>1281</v>
      </c>
      <c r="E611" s="7" t="s">
        <v>1282</v>
      </c>
      <c r="F611" s="7" t="s">
        <v>1283</v>
      </c>
      <c r="G611" s="3" t="s">
        <v>50</v>
      </c>
      <c r="H611" s="3"/>
      <c r="I611" s="3"/>
      <c r="J611" s="3"/>
      <c r="K611" s="3"/>
      <c r="L611" s="3"/>
      <c r="M611" s="3"/>
      <c r="N611" s="3"/>
      <c r="O611" s="3"/>
      <c r="P611" s="3"/>
      <c r="Q611" s="3"/>
    </row>
    <row r="612" spans="1:17" ht="60" customHeight="1" x14ac:dyDescent="0.25">
      <c r="A612" s="9">
        <f>IF(F612="","",ROW()-19-COUNTBLANK($F$20:F612))</f>
        <v>534</v>
      </c>
      <c r="B612" s="4" t="s">
        <v>1284</v>
      </c>
      <c r="C612" s="4" t="s">
        <v>1285</v>
      </c>
      <c r="D612" s="4" t="s">
        <v>1286</v>
      </c>
      <c r="E612" s="7" t="s">
        <v>1287</v>
      </c>
      <c r="F612" s="7" t="s">
        <v>1288</v>
      </c>
      <c r="G612" s="3" t="s">
        <v>50</v>
      </c>
      <c r="H612" s="3"/>
      <c r="I612" s="3"/>
      <c r="J612" s="3"/>
      <c r="K612" s="3"/>
      <c r="L612" s="3"/>
      <c r="M612" s="3"/>
      <c r="N612" s="3"/>
      <c r="O612" s="3"/>
      <c r="P612" s="3"/>
      <c r="Q612" s="3"/>
    </row>
    <row r="613" spans="1:17" ht="60" customHeight="1" x14ac:dyDescent="0.25">
      <c r="A613" s="9">
        <f>IF(F613="","",ROW()-19-COUNTBLANK($F$20:F613))</f>
        <v>535</v>
      </c>
      <c r="B613" s="4" t="s">
        <v>1289</v>
      </c>
      <c r="C613" s="4" t="s">
        <v>1290</v>
      </c>
      <c r="D613" s="4" t="s">
        <v>1291</v>
      </c>
      <c r="E613" s="7" t="s">
        <v>1292</v>
      </c>
      <c r="F613" s="7" t="s">
        <v>1293</v>
      </c>
      <c r="G613" s="3" t="s">
        <v>50</v>
      </c>
      <c r="H613" s="3"/>
      <c r="I613" s="3"/>
      <c r="J613" s="3"/>
      <c r="K613" s="3"/>
      <c r="L613" s="3"/>
      <c r="M613" s="3"/>
      <c r="N613" s="3"/>
      <c r="O613" s="3"/>
      <c r="P613" s="3"/>
      <c r="Q613" s="3"/>
    </row>
    <row r="614" spans="1:17" ht="60" customHeight="1" x14ac:dyDescent="0.25">
      <c r="A614" s="9">
        <f>IF(F614="","",ROW()-19-COUNTBLANK($F$20:F614))</f>
        <v>536</v>
      </c>
      <c r="B614" s="4" t="s">
        <v>1294</v>
      </c>
      <c r="C614" s="4" t="s">
        <v>1295</v>
      </c>
      <c r="D614" s="4" t="s">
        <v>1296</v>
      </c>
      <c r="E614" s="7" t="s">
        <v>1297</v>
      </c>
      <c r="F614" s="7" t="s">
        <v>1298</v>
      </c>
      <c r="G614" s="3" t="s">
        <v>50</v>
      </c>
      <c r="H614" s="3"/>
      <c r="I614" s="3"/>
      <c r="J614" s="3"/>
      <c r="K614" s="3"/>
      <c r="L614" s="3"/>
      <c r="M614" s="3"/>
      <c r="N614" s="3"/>
      <c r="O614" s="3"/>
      <c r="P614" s="3"/>
      <c r="Q614" s="3"/>
    </row>
    <row r="615" spans="1:17" ht="60" customHeight="1" x14ac:dyDescent="0.25">
      <c r="A615" s="9">
        <f>IF(F615="","",ROW()-19-COUNTBLANK($F$20:F615))</f>
        <v>537</v>
      </c>
      <c r="B615" s="4" t="s">
        <v>1299</v>
      </c>
      <c r="C615" s="4" t="s">
        <v>1300</v>
      </c>
      <c r="D615" s="4" t="s">
        <v>1301</v>
      </c>
      <c r="E615" s="7" t="s">
        <v>1302</v>
      </c>
      <c r="F615" s="7" t="s">
        <v>1303</v>
      </c>
      <c r="G615" s="3" t="s">
        <v>50</v>
      </c>
      <c r="H615" s="3"/>
      <c r="I615" s="3"/>
      <c r="J615" s="3"/>
      <c r="K615" s="3"/>
      <c r="L615" s="3"/>
      <c r="M615" s="3"/>
      <c r="N615" s="3"/>
      <c r="O615" s="3"/>
      <c r="P615" s="3"/>
      <c r="Q615" s="3"/>
    </row>
    <row r="616" spans="1:17" ht="60" customHeight="1" x14ac:dyDescent="0.25">
      <c r="A616" s="9">
        <f>IF(F616="","",ROW()-19-COUNTBLANK($F$20:F616))</f>
        <v>538</v>
      </c>
      <c r="B616" s="4" t="s">
        <v>1304</v>
      </c>
      <c r="C616" s="4" t="s">
        <v>1305</v>
      </c>
      <c r="D616" s="4" t="s">
        <v>1306</v>
      </c>
      <c r="E616" s="7" t="s">
        <v>1307</v>
      </c>
      <c r="F616" s="7" t="s">
        <v>1308</v>
      </c>
      <c r="G616" s="3" t="s">
        <v>50</v>
      </c>
      <c r="H616" s="3"/>
      <c r="I616" s="3"/>
      <c r="J616" s="3"/>
      <c r="K616" s="3"/>
      <c r="L616" s="3"/>
      <c r="M616" s="3"/>
      <c r="N616" s="3"/>
      <c r="O616" s="3"/>
      <c r="P616" s="3"/>
      <c r="Q616" s="3"/>
    </row>
    <row r="617" spans="1:17" ht="60" customHeight="1" x14ac:dyDescent="0.25">
      <c r="A617" s="9">
        <f>IF(F617="","",ROW()-19-COUNTBLANK($F$20:F617))</f>
        <v>539</v>
      </c>
      <c r="B617" s="4" t="s">
        <v>1309</v>
      </c>
      <c r="C617" s="4" t="s">
        <v>1310</v>
      </c>
      <c r="D617" s="4" t="s">
        <v>1311</v>
      </c>
      <c r="E617" s="7" t="s">
        <v>1312</v>
      </c>
      <c r="F617" s="7" t="s">
        <v>1313</v>
      </c>
      <c r="G617" s="3" t="s">
        <v>50</v>
      </c>
      <c r="H617" s="3"/>
      <c r="I617" s="3"/>
      <c r="J617" s="3"/>
      <c r="K617" s="3"/>
      <c r="L617" s="3"/>
      <c r="M617" s="3"/>
      <c r="N617" s="3"/>
      <c r="O617" s="3"/>
      <c r="P617" s="3"/>
      <c r="Q617" s="3"/>
    </row>
    <row r="618" spans="1:17" ht="60" customHeight="1" x14ac:dyDescent="0.25">
      <c r="A618" s="9">
        <f>IF(F618="","",ROW()-19-COUNTBLANK($F$20:F618))</f>
        <v>540</v>
      </c>
      <c r="B618" s="4" t="s">
        <v>1314</v>
      </c>
      <c r="C618" s="4" t="s">
        <v>1315</v>
      </c>
      <c r="D618" s="4" t="s">
        <v>1316</v>
      </c>
      <c r="E618" s="7" t="s">
        <v>1317</v>
      </c>
      <c r="F618" s="7" t="s">
        <v>1318</v>
      </c>
      <c r="G618" s="3" t="s">
        <v>50</v>
      </c>
      <c r="H618" s="3"/>
      <c r="I618" s="3"/>
      <c r="J618" s="3"/>
      <c r="K618" s="3"/>
      <c r="L618" s="3"/>
      <c r="M618" s="3"/>
      <c r="N618" s="3"/>
      <c r="O618" s="3"/>
      <c r="P618" s="3"/>
      <c r="Q618" s="3"/>
    </row>
    <row r="619" spans="1:17" ht="60" customHeight="1" x14ac:dyDescent="0.25">
      <c r="A619" s="9">
        <f>IF(F619="","",ROW()-19-COUNTBLANK($F$20:F619))</f>
        <v>541</v>
      </c>
      <c r="B619" s="4" t="s">
        <v>1319</v>
      </c>
      <c r="C619" s="4" t="s">
        <v>1320</v>
      </c>
      <c r="D619" s="4" t="s">
        <v>1321</v>
      </c>
      <c r="E619" s="7" t="s">
        <v>1322</v>
      </c>
      <c r="F619" s="7" t="s">
        <v>1323</v>
      </c>
      <c r="G619" s="3" t="s">
        <v>50</v>
      </c>
      <c r="H619" s="3"/>
      <c r="I619" s="3"/>
      <c r="J619" s="3"/>
      <c r="K619" s="3"/>
      <c r="L619" s="3"/>
      <c r="M619" s="3"/>
      <c r="N619" s="3"/>
      <c r="O619" s="3"/>
      <c r="P619" s="3"/>
      <c r="Q619" s="3"/>
    </row>
    <row r="620" spans="1:17" ht="60" customHeight="1" x14ac:dyDescent="0.25">
      <c r="A620" s="9">
        <f>IF(F620="","",ROW()-19-COUNTBLANK($F$20:F620))</f>
        <v>542</v>
      </c>
      <c r="B620" s="4" t="s">
        <v>1324</v>
      </c>
      <c r="C620" s="4" t="s">
        <v>1320</v>
      </c>
      <c r="D620" s="4" t="s">
        <v>1325</v>
      </c>
      <c r="E620" s="7" t="s">
        <v>1326</v>
      </c>
      <c r="F620" s="7" t="s">
        <v>1327</v>
      </c>
      <c r="G620" s="3" t="s">
        <v>50</v>
      </c>
      <c r="H620" s="3"/>
      <c r="I620" s="3"/>
      <c r="J620" s="3"/>
      <c r="K620" s="3"/>
      <c r="L620" s="3"/>
      <c r="M620" s="3"/>
      <c r="N620" s="3"/>
      <c r="O620" s="3"/>
      <c r="P620" s="3"/>
      <c r="Q620" s="3"/>
    </row>
    <row r="621" spans="1:17" ht="60" customHeight="1" x14ac:dyDescent="0.25">
      <c r="A621" s="9">
        <f>IF(F621="","",ROW()-19-COUNTBLANK($F$20:F621))</f>
        <v>543</v>
      </c>
      <c r="B621" s="4" t="s">
        <v>1328</v>
      </c>
      <c r="C621" s="4" t="s">
        <v>1320</v>
      </c>
      <c r="D621" s="4" t="s">
        <v>1329</v>
      </c>
      <c r="E621" s="7" t="s">
        <v>1330</v>
      </c>
      <c r="F621" s="7" t="s">
        <v>1331</v>
      </c>
      <c r="G621" s="3" t="s">
        <v>50</v>
      </c>
      <c r="H621" s="3"/>
      <c r="I621" s="3"/>
      <c r="J621" s="3"/>
      <c r="K621" s="3"/>
      <c r="L621" s="3"/>
      <c r="M621" s="3"/>
      <c r="N621" s="3"/>
      <c r="O621" s="3"/>
      <c r="P621" s="3"/>
      <c r="Q621" s="3"/>
    </row>
    <row r="622" spans="1:17" ht="60" customHeight="1" x14ac:dyDescent="0.25">
      <c r="A622" s="9">
        <f>IF(F622="","",ROW()-19-COUNTBLANK($F$20:F622))</f>
        <v>544</v>
      </c>
      <c r="B622" s="4" t="s">
        <v>1332</v>
      </c>
      <c r="C622" s="4" t="s">
        <v>1333</v>
      </c>
      <c r="D622" s="4" t="s">
        <v>1334</v>
      </c>
      <c r="E622" s="7" t="s">
        <v>1335</v>
      </c>
      <c r="F622" s="7" t="s">
        <v>1336</v>
      </c>
      <c r="G622" s="3" t="s">
        <v>50</v>
      </c>
      <c r="H622" s="3"/>
      <c r="I622" s="3"/>
      <c r="J622" s="3"/>
      <c r="K622" s="3"/>
      <c r="L622" s="3"/>
      <c r="M622" s="3"/>
      <c r="N622" s="3"/>
      <c r="O622" s="3"/>
      <c r="P622" s="3"/>
      <c r="Q622" s="3"/>
    </row>
    <row r="623" spans="1:17" ht="60" customHeight="1" x14ac:dyDescent="0.25">
      <c r="A623" s="9">
        <f>IF(F623="","",ROW()-19-COUNTBLANK($F$20:F623))</f>
        <v>545</v>
      </c>
      <c r="B623" s="4" t="s">
        <v>1337</v>
      </c>
      <c r="C623" s="4" t="s">
        <v>1338</v>
      </c>
      <c r="D623" s="4" t="s">
        <v>1339</v>
      </c>
      <c r="E623" s="7" t="s">
        <v>1340</v>
      </c>
      <c r="F623" s="7" t="s">
        <v>1341</v>
      </c>
      <c r="G623" s="3" t="s">
        <v>50</v>
      </c>
      <c r="H623" s="3"/>
      <c r="I623" s="3"/>
      <c r="J623" s="3"/>
      <c r="K623" s="3"/>
      <c r="L623" s="3"/>
      <c r="M623" s="3"/>
      <c r="N623" s="3"/>
      <c r="O623" s="3"/>
      <c r="P623" s="3"/>
      <c r="Q623" s="3"/>
    </row>
    <row r="624" spans="1:17" ht="60" customHeight="1" x14ac:dyDescent="0.25">
      <c r="A624" s="9">
        <f>IF(F624="","",ROW()-19-COUNTBLANK($F$20:F624))</f>
        <v>546</v>
      </c>
      <c r="B624" s="4" t="s">
        <v>1342</v>
      </c>
      <c r="C624" s="4" t="s">
        <v>1343</v>
      </c>
      <c r="D624" s="4" t="s">
        <v>1344</v>
      </c>
      <c r="E624" s="7" t="s">
        <v>1345</v>
      </c>
      <c r="F624" s="7" t="s">
        <v>1346</v>
      </c>
      <c r="G624" s="3" t="s">
        <v>50</v>
      </c>
      <c r="H624" s="3"/>
      <c r="I624" s="3"/>
      <c r="J624" s="3"/>
      <c r="K624" s="3"/>
      <c r="L624" s="3"/>
      <c r="M624" s="3"/>
      <c r="N624" s="3"/>
      <c r="O624" s="3"/>
      <c r="P624" s="3"/>
      <c r="Q624" s="3"/>
    </row>
    <row r="625" spans="1:17" ht="60" customHeight="1" x14ac:dyDescent="0.25">
      <c r="A625" s="9">
        <f>IF(F625="","",ROW()-19-COUNTBLANK($F$20:F625))</f>
        <v>547</v>
      </c>
      <c r="B625" s="4" t="s">
        <v>1347</v>
      </c>
      <c r="C625" s="4" t="s">
        <v>1348</v>
      </c>
      <c r="D625" s="4" t="s">
        <v>1349</v>
      </c>
      <c r="E625" s="7" t="s">
        <v>1350</v>
      </c>
      <c r="F625" s="7" t="s">
        <v>1351</v>
      </c>
      <c r="G625" s="3" t="s">
        <v>50</v>
      </c>
      <c r="H625" s="3"/>
      <c r="I625" s="3"/>
      <c r="J625" s="3"/>
      <c r="K625" s="3"/>
      <c r="L625" s="3"/>
      <c r="M625" s="3"/>
      <c r="N625" s="3"/>
      <c r="O625" s="3"/>
      <c r="P625" s="3"/>
      <c r="Q625" s="3"/>
    </row>
    <row r="626" spans="1:17" ht="60" customHeight="1" x14ac:dyDescent="0.25">
      <c r="A626" s="9">
        <f>IF(F626="","",ROW()-19-COUNTBLANK($F$20:F626))</f>
        <v>548</v>
      </c>
      <c r="B626" s="4" t="s">
        <v>1352</v>
      </c>
      <c r="C626" s="4" t="s">
        <v>1353</v>
      </c>
      <c r="D626" s="4" t="s">
        <v>1354</v>
      </c>
      <c r="E626" s="7" t="s">
        <v>1355</v>
      </c>
      <c r="F626" s="7" t="s">
        <v>1356</v>
      </c>
      <c r="G626" s="3" t="s">
        <v>50</v>
      </c>
      <c r="H626" s="3"/>
      <c r="I626" s="3"/>
      <c r="J626" s="3"/>
      <c r="K626" s="3"/>
      <c r="L626" s="3"/>
      <c r="M626" s="3"/>
      <c r="N626" s="3"/>
      <c r="O626" s="3"/>
      <c r="P626" s="3"/>
      <c r="Q626" s="3"/>
    </row>
    <row r="627" spans="1:17" ht="20.100000000000001" customHeight="1" x14ac:dyDescent="0.25">
      <c r="A627" s="9" t="str">
        <f>IF(F627="","",ROW()-19-COUNTBLANK($F$20:F627))</f>
        <v/>
      </c>
      <c r="B627" s="12" t="s">
        <v>1357</v>
      </c>
      <c r="C627" s="12"/>
      <c r="D627" s="12"/>
      <c r="E627" s="12"/>
      <c r="F627" s="12"/>
      <c r="G627" s="12"/>
      <c r="H627" s="12"/>
      <c r="I627" s="12"/>
      <c r="J627" s="12"/>
      <c r="K627" s="12"/>
      <c r="L627" s="12"/>
      <c r="M627" s="12"/>
      <c r="N627" s="12"/>
      <c r="O627" s="12"/>
      <c r="P627" s="12"/>
      <c r="Q627" s="12"/>
    </row>
    <row r="628" spans="1:17" ht="60" customHeight="1" x14ac:dyDescent="0.25">
      <c r="A628" s="9">
        <f>IF(F628="","",ROW()-19-COUNTBLANK($F$20:F628))</f>
        <v>549</v>
      </c>
      <c r="B628" s="4" t="s">
        <v>1358</v>
      </c>
      <c r="C628" s="4" t="s">
        <v>1359</v>
      </c>
      <c r="D628" s="4" t="s">
        <v>1360</v>
      </c>
      <c r="E628" s="7" t="s">
        <v>1361</v>
      </c>
      <c r="F628" s="7" t="s">
        <v>1362</v>
      </c>
      <c r="G628" s="3" t="s">
        <v>50</v>
      </c>
      <c r="H628" s="3"/>
      <c r="I628" s="3"/>
      <c r="J628" s="3"/>
      <c r="K628" s="3"/>
      <c r="L628" s="3"/>
      <c r="M628" s="3"/>
      <c r="N628" s="3"/>
      <c r="O628" s="3"/>
      <c r="P628" s="3"/>
      <c r="Q628" s="3"/>
    </row>
    <row r="629" spans="1:17" ht="60" customHeight="1" x14ac:dyDescent="0.25">
      <c r="A629" s="9">
        <f>IF(F629="","",ROW()-19-COUNTBLANK($F$20:F629))</f>
        <v>550</v>
      </c>
      <c r="B629" s="4" t="s">
        <v>1363</v>
      </c>
      <c r="C629" s="4" t="s">
        <v>1364</v>
      </c>
      <c r="D629" s="4" t="s">
        <v>1365</v>
      </c>
      <c r="E629" s="7" t="s">
        <v>1366</v>
      </c>
      <c r="F629" s="7" t="s">
        <v>1367</v>
      </c>
      <c r="G629" s="3" t="s">
        <v>50</v>
      </c>
      <c r="H629" s="3"/>
      <c r="I629" s="3"/>
      <c r="J629" s="3"/>
      <c r="K629" s="3"/>
      <c r="L629" s="3"/>
      <c r="M629" s="3"/>
      <c r="N629" s="3"/>
      <c r="O629" s="3"/>
      <c r="P629" s="3"/>
      <c r="Q629" s="3"/>
    </row>
    <row r="630" spans="1:17" ht="60" customHeight="1" x14ac:dyDescent="0.25">
      <c r="A630" s="9">
        <f>IF(F630="","",ROW()-19-COUNTBLANK($F$20:F630))</f>
        <v>551</v>
      </c>
      <c r="B630" s="4" t="s">
        <v>1368</v>
      </c>
      <c r="C630" s="4" t="s">
        <v>1369</v>
      </c>
      <c r="D630" s="4" t="s">
        <v>1370</v>
      </c>
      <c r="E630" s="7" t="s">
        <v>1371</v>
      </c>
      <c r="F630" s="7" t="s">
        <v>1362</v>
      </c>
      <c r="G630" s="3" t="s">
        <v>50</v>
      </c>
      <c r="H630" s="3"/>
      <c r="I630" s="3"/>
      <c r="J630" s="3"/>
      <c r="K630" s="3"/>
      <c r="L630" s="3"/>
      <c r="M630" s="3"/>
      <c r="N630" s="3"/>
      <c r="O630" s="3"/>
      <c r="P630" s="3"/>
      <c r="Q630" s="3"/>
    </row>
    <row r="631" spans="1:17" ht="60" customHeight="1" x14ac:dyDescent="0.25">
      <c r="A631" s="9">
        <f>IF(F631="","",ROW()-19-COUNTBLANK($F$20:F631))</f>
        <v>552</v>
      </c>
      <c r="B631" s="4" t="s">
        <v>1372</v>
      </c>
      <c r="C631" s="4" t="s">
        <v>1373</v>
      </c>
      <c r="D631" s="4" t="s">
        <v>1374</v>
      </c>
      <c r="E631" s="7" t="s">
        <v>1375</v>
      </c>
      <c r="F631" s="7" t="s">
        <v>1376</v>
      </c>
      <c r="G631" s="3" t="s">
        <v>50</v>
      </c>
      <c r="H631" s="3"/>
      <c r="I631" s="3"/>
      <c r="J631" s="3"/>
      <c r="K631" s="3"/>
      <c r="L631" s="3"/>
      <c r="M631" s="3"/>
      <c r="N631" s="3"/>
      <c r="O631" s="3"/>
      <c r="P631" s="3"/>
      <c r="Q631" s="3"/>
    </row>
    <row r="632" spans="1:17" ht="60" customHeight="1" x14ac:dyDescent="0.25">
      <c r="A632" s="9">
        <f>IF(F632="","",ROW()-19-COUNTBLANK($F$20:F632))</f>
        <v>553</v>
      </c>
      <c r="B632" s="4" t="s">
        <v>1377</v>
      </c>
      <c r="C632" s="4" t="s">
        <v>1378</v>
      </c>
      <c r="D632" s="4" t="s">
        <v>1379</v>
      </c>
      <c r="E632" s="7" t="s">
        <v>1380</v>
      </c>
      <c r="F632" s="7" t="s">
        <v>1381</v>
      </c>
      <c r="G632" s="3" t="s">
        <v>50</v>
      </c>
      <c r="H632" s="3"/>
      <c r="I632" s="3"/>
      <c r="J632" s="3"/>
      <c r="K632" s="3"/>
      <c r="L632" s="3"/>
      <c r="M632" s="3"/>
      <c r="N632" s="3"/>
      <c r="O632" s="3"/>
      <c r="P632" s="3"/>
      <c r="Q632" s="3"/>
    </row>
    <row r="633" spans="1:17" ht="60" customHeight="1" x14ac:dyDescent="0.25">
      <c r="A633" s="9">
        <f>IF(F633="","",ROW()-19-COUNTBLANK($F$20:F633))</f>
        <v>554</v>
      </c>
      <c r="B633" s="4" t="s">
        <v>1382</v>
      </c>
      <c r="C633" s="4" t="s">
        <v>1383</v>
      </c>
      <c r="D633" s="4" t="s">
        <v>1384</v>
      </c>
      <c r="E633" s="7" t="s">
        <v>1385</v>
      </c>
      <c r="F633" s="7" t="s">
        <v>1386</v>
      </c>
      <c r="G633" s="3" t="s">
        <v>50</v>
      </c>
      <c r="H633" s="3"/>
      <c r="I633" s="3"/>
      <c r="J633" s="3"/>
      <c r="K633" s="3"/>
      <c r="L633" s="3"/>
      <c r="M633" s="3"/>
      <c r="N633" s="3"/>
      <c r="O633" s="3"/>
      <c r="P633" s="3"/>
      <c r="Q633" s="3"/>
    </row>
    <row r="634" spans="1:17" ht="60" customHeight="1" x14ac:dyDescent="0.25">
      <c r="A634" s="9">
        <f>IF(F634="","",ROW()-19-COUNTBLANK($F$20:F634))</f>
        <v>555</v>
      </c>
      <c r="B634" s="4" t="s">
        <v>1387</v>
      </c>
      <c r="C634" s="4" t="s">
        <v>1388</v>
      </c>
      <c r="D634" s="4" t="s">
        <v>1389</v>
      </c>
      <c r="E634" s="7" t="s">
        <v>1390</v>
      </c>
      <c r="F634" s="7" t="s">
        <v>1391</v>
      </c>
      <c r="G634" s="3" t="s">
        <v>50</v>
      </c>
      <c r="H634" s="3"/>
      <c r="I634" s="3"/>
      <c r="J634" s="3"/>
      <c r="K634" s="3"/>
      <c r="L634" s="3"/>
      <c r="M634" s="3"/>
      <c r="N634" s="3"/>
      <c r="O634" s="3"/>
      <c r="P634" s="3"/>
      <c r="Q634" s="3"/>
    </row>
    <row r="635" spans="1:17" ht="60" customHeight="1" x14ac:dyDescent="0.25">
      <c r="A635" s="9">
        <f>IF(F635="","",ROW()-19-COUNTBLANK($F$20:F635))</f>
        <v>556</v>
      </c>
      <c r="B635" s="4" t="s">
        <v>1392</v>
      </c>
      <c r="C635" s="4" t="s">
        <v>1393</v>
      </c>
      <c r="D635" s="4" t="s">
        <v>1394</v>
      </c>
      <c r="E635" s="7" t="s">
        <v>1395</v>
      </c>
      <c r="F635" s="7" t="s">
        <v>1396</v>
      </c>
      <c r="G635" s="3" t="s">
        <v>50</v>
      </c>
      <c r="H635" s="3"/>
      <c r="I635" s="3"/>
      <c r="J635" s="3"/>
      <c r="K635" s="3"/>
      <c r="L635" s="3"/>
      <c r="M635" s="3"/>
      <c r="N635" s="3"/>
      <c r="O635" s="3"/>
      <c r="P635" s="3"/>
      <c r="Q635" s="3"/>
    </row>
    <row r="636" spans="1:17" ht="60" customHeight="1" x14ac:dyDescent="0.25">
      <c r="A636" s="9">
        <f>IF(F636="","",ROW()-19-COUNTBLANK($F$20:F636))</f>
        <v>557</v>
      </c>
      <c r="B636" s="4" t="s">
        <v>1397</v>
      </c>
      <c r="C636" s="4" t="s">
        <v>1398</v>
      </c>
      <c r="D636" s="4" t="s">
        <v>1399</v>
      </c>
      <c r="E636" s="7" t="s">
        <v>1400</v>
      </c>
      <c r="F636" s="7" t="s">
        <v>1401</v>
      </c>
      <c r="G636" s="3" t="s">
        <v>50</v>
      </c>
      <c r="H636" s="3"/>
      <c r="I636" s="3"/>
      <c r="J636" s="3"/>
      <c r="K636" s="3"/>
      <c r="L636" s="3"/>
      <c r="M636" s="3"/>
      <c r="N636" s="3"/>
      <c r="O636" s="3"/>
      <c r="P636" s="3"/>
      <c r="Q636" s="3"/>
    </row>
    <row r="637" spans="1:17" ht="60" customHeight="1" x14ac:dyDescent="0.25">
      <c r="A637" s="9">
        <f>IF(F637="","",ROW()-19-COUNTBLANK($F$20:F637))</f>
        <v>558</v>
      </c>
      <c r="B637" s="4" t="s">
        <v>1402</v>
      </c>
      <c r="C637" s="4" t="s">
        <v>1403</v>
      </c>
      <c r="D637" s="4" t="s">
        <v>1404</v>
      </c>
      <c r="E637" s="7" t="s">
        <v>1405</v>
      </c>
      <c r="F637" s="7" t="s">
        <v>1406</v>
      </c>
      <c r="G637" s="3" t="s">
        <v>50</v>
      </c>
      <c r="H637" s="3"/>
      <c r="I637" s="3"/>
      <c r="J637" s="3"/>
      <c r="K637" s="3"/>
      <c r="L637" s="3"/>
      <c r="M637" s="3"/>
      <c r="N637" s="3"/>
      <c r="O637" s="3"/>
      <c r="P637" s="3"/>
      <c r="Q637" s="3"/>
    </row>
    <row r="638" spans="1:17" ht="60" customHeight="1" x14ac:dyDescent="0.25">
      <c r="A638" s="9">
        <f>IF(F638="","",ROW()-19-COUNTBLANK($F$20:F638))</f>
        <v>559</v>
      </c>
      <c r="B638" s="4" t="s">
        <v>1407</v>
      </c>
      <c r="C638" s="4" t="s">
        <v>1408</v>
      </c>
      <c r="D638" s="4" t="s">
        <v>1409</v>
      </c>
      <c r="E638" s="7" t="s">
        <v>1410</v>
      </c>
      <c r="F638" s="7" t="s">
        <v>1411</v>
      </c>
      <c r="G638" s="3" t="s">
        <v>50</v>
      </c>
      <c r="H638" s="3"/>
      <c r="I638" s="3"/>
      <c r="J638" s="3"/>
      <c r="K638" s="3"/>
      <c r="L638" s="3"/>
      <c r="M638" s="3"/>
      <c r="N638" s="3"/>
      <c r="O638" s="3"/>
      <c r="P638" s="3"/>
      <c r="Q638" s="3"/>
    </row>
    <row r="639" spans="1:17" ht="60" customHeight="1" x14ac:dyDescent="0.25">
      <c r="A639" s="9">
        <f>IF(F639="","",ROW()-19-COUNTBLANK($F$20:F639))</f>
        <v>560</v>
      </c>
      <c r="B639" s="4" t="s">
        <v>1412</v>
      </c>
      <c r="C639" s="4" t="s">
        <v>1413</v>
      </c>
      <c r="D639" s="4" t="s">
        <v>1414</v>
      </c>
      <c r="E639" s="7" t="s">
        <v>1415</v>
      </c>
      <c r="F639" s="7" t="s">
        <v>1416</v>
      </c>
      <c r="G639" s="3" t="s">
        <v>50</v>
      </c>
      <c r="H639" s="3"/>
      <c r="I639" s="3"/>
      <c r="J639" s="3"/>
      <c r="K639" s="3"/>
      <c r="L639" s="3"/>
      <c r="M639" s="3"/>
      <c r="N639" s="3"/>
      <c r="O639" s="3"/>
      <c r="P639" s="3"/>
      <c r="Q639" s="3"/>
    </row>
    <row r="640" spans="1:17" ht="60" customHeight="1" x14ac:dyDescent="0.25">
      <c r="A640" s="9">
        <f>IF(F640="","",ROW()-19-COUNTBLANK($F$20:F640))</f>
        <v>561</v>
      </c>
      <c r="B640" s="4" t="s">
        <v>1417</v>
      </c>
      <c r="C640" s="4" t="s">
        <v>1418</v>
      </c>
      <c r="D640" s="4" t="s">
        <v>1419</v>
      </c>
      <c r="E640" s="7" t="s">
        <v>1420</v>
      </c>
      <c r="F640" s="7" t="s">
        <v>1421</v>
      </c>
      <c r="G640" s="3" t="s">
        <v>50</v>
      </c>
      <c r="H640" s="3"/>
      <c r="I640" s="3"/>
      <c r="J640" s="3"/>
      <c r="K640" s="3"/>
      <c r="L640" s="3"/>
      <c r="M640" s="3"/>
      <c r="N640" s="3"/>
      <c r="O640" s="3"/>
      <c r="P640" s="3"/>
      <c r="Q640" s="3"/>
    </row>
    <row r="641" spans="1:17" ht="60" customHeight="1" x14ac:dyDescent="0.25">
      <c r="A641" s="9">
        <f>IF(F641="","",ROW()-19-COUNTBLANK($F$20:F641))</f>
        <v>562</v>
      </c>
      <c r="B641" s="4" t="s">
        <v>1422</v>
      </c>
      <c r="C641" s="4" t="s">
        <v>1423</v>
      </c>
      <c r="D641" s="4" t="s">
        <v>1424</v>
      </c>
      <c r="E641" s="7" t="s">
        <v>1425</v>
      </c>
      <c r="F641" s="7" t="s">
        <v>1426</v>
      </c>
      <c r="G641" s="3" t="s">
        <v>50</v>
      </c>
      <c r="H641" s="3"/>
      <c r="I641" s="3"/>
      <c r="J641" s="3"/>
      <c r="K641" s="3"/>
      <c r="L641" s="3"/>
      <c r="M641" s="3"/>
      <c r="N641" s="3"/>
      <c r="O641" s="3"/>
      <c r="P641" s="3"/>
      <c r="Q641" s="3"/>
    </row>
    <row r="642" spans="1:17" ht="60" customHeight="1" x14ac:dyDescent="0.25">
      <c r="A642" s="9">
        <f>IF(F642="","",ROW()-19-COUNTBLANK($F$20:F642))</f>
        <v>563</v>
      </c>
      <c r="B642" s="4" t="s">
        <v>1427</v>
      </c>
      <c r="C642" s="4" t="s">
        <v>1428</v>
      </c>
      <c r="D642" s="4" t="s">
        <v>1429</v>
      </c>
      <c r="E642" s="7" t="s">
        <v>1322</v>
      </c>
      <c r="F642" s="7" t="s">
        <v>1430</v>
      </c>
      <c r="G642" s="3" t="s">
        <v>50</v>
      </c>
      <c r="H642" s="3"/>
      <c r="I642" s="3"/>
      <c r="J642" s="3"/>
      <c r="K642" s="3"/>
      <c r="L642" s="3"/>
      <c r="M642" s="3"/>
      <c r="N642" s="3"/>
      <c r="O642" s="3"/>
      <c r="P642" s="3"/>
      <c r="Q642" s="3"/>
    </row>
    <row r="643" spans="1:17" ht="60" customHeight="1" x14ac:dyDescent="0.25">
      <c r="A643" s="9">
        <f>IF(F643="","",ROW()-19-COUNTBLANK($F$20:F643))</f>
        <v>564</v>
      </c>
      <c r="B643" s="4" t="s">
        <v>1431</v>
      </c>
      <c r="C643" s="4" t="s">
        <v>1432</v>
      </c>
      <c r="D643" s="4" t="s">
        <v>1433</v>
      </c>
      <c r="E643" s="7" t="s">
        <v>1335</v>
      </c>
      <c r="F643" s="7" t="s">
        <v>1434</v>
      </c>
      <c r="G643" s="3" t="s">
        <v>50</v>
      </c>
      <c r="H643" s="3"/>
      <c r="I643" s="3"/>
      <c r="J643" s="3"/>
      <c r="K643" s="3"/>
      <c r="L643" s="3"/>
      <c r="M643" s="3"/>
      <c r="N643" s="3"/>
      <c r="O643" s="3"/>
      <c r="P643" s="3"/>
      <c r="Q643" s="3"/>
    </row>
    <row r="644" spans="1:17" ht="60" customHeight="1" x14ac:dyDescent="0.25">
      <c r="A644" s="9">
        <f>IF(F644="","",ROW()-19-COUNTBLANK($F$20:F644))</f>
        <v>565</v>
      </c>
      <c r="B644" s="4" t="s">
        <v>1435</v>
      </c>
      <c r="C644" s="4" t="s">
        <v>1436</v>
      </c>
      <c r="D644" s="4" t="s">
        <v>1437</v>
      </c>
      <c r="E644" s="7" t="s">
        <v>1326</v>
      </c>
      <c r="F644" s="7" t="s">
        <v>1438</v>
      </c>
      <c r="G644" s="3" t="s">
        <v>50</v>
      </c>
      <c r="H644" s="3"/>
      <c r="I644" s="3"/>
      <c r="J644" s="3"/>
      <c r="K644" s="3"/>
      <c r="L644" s="3"/>
      <c r="M644" s="3"/>
      <c r="N644" s="3"/>
      <c r="O644" s="3"/>
      <c r="P644" s="3"/>
      <c r="Q644" s="3"/>
    </row>
    <row r="645" spans="1:17" ht="60" customHeight="1" x14ac:dyDescent="0.25">
      <c r="A645" s="9">
        <f>IF(F645="","",ROW()-19-COUNTBLANK($F$20:F645))</f>
        <v>566</v>
      </c>
      <c r="B645" s="4" t="s">
        <v>1439</v>
      </c>
      <c r="C645" s="4" t="s">
        <v>1440</v>
      </c>
      <c r="D645" s="4" t="s">
        <v>1441</v>
      </c>
      <c r="E645" s="7" t="s">
        <v>1330</v>
      </c>
      <c r="F645" s="7" t="s">
        <v>1442</v>
      </c>
      <c r="G645" s="3" t="s">
        <v>50</v>
      </c>
      <c r="H645" s="3"/>
      <c r="I645" s="3"/>
      <c r="J645" s="3"/>
      <c r="K645" s="3"/>
      <c r="L645" s="3"/>
      <c r="M645" s="3"/>
      <c r="N645" s="3"/>
      <c r="O645" s="3"/>
      <c r="P645" s="3"/>
      <c r="Q645" s="3"/>
    </row>
    <row r="646" spans="1:17" ht="60" customHeight="1" x14ac:dyDescent="0.25">
      <c r="A646" s="9">
        <f>IF(F646="","",ROW()-19-COUNTBLANK($F$20:F646))</f>
        <v>567</v>
      </c>
      <c r="B646" s="4" t="s">
        <v>1443</v>
      </c>
      <c r="C646" s="4" t="s">
        <v>1444</v>
      </c>
      <c r="D646" s="4" t="s">
        <v>1445</v>
      </c>
      <c r="E646" s="7" t="s">
        <v>1446</v>
      </c>
      <c r="F646" s="7" t="s">
        <v>1447</v>
      </c>
      <c r="G646" s="3" t="s">
        <v>55</v>
      </c>
      <c r="H646" s="3"/>
      <c r="I646" s="3"/>
      <c r="J646" s="3"/>
      <c r="K646" s="3"/>
      <c r="L646" s="3"/>
      <c r="M646" s="3"/>
      <c r="N646" s="3"/>
      <c r="O646" s="3"/>
      <c r="P646" s="3"/>
      <c r="Q646" s="3"/>
    </row>
    <row r="647" spans="1:17" ht="60" customHeight="1" x14ac:dyDescent="0.25">
      <c r="A647" s="9">
        <f>IF(F647="","",ROW()-19-COUNTBLANK($F$20:F647))</f>
        <v>568</v>
      </c>
      <c r="B647" s="4" t="s">
        <v>1448</v>
      </c>
      <c r="C647" s="4" t="s">
        <v>1449</v>
      </c>
      <c r="D647" s="4"/>
      <c r="E647" s="7" t="s">
        <v>1450</v>
      </c>
      <c r="F647" s="7" t="s">
        <v>1451</v>
      </c>
      <c r="G647" s="3" t="s">
        <v>55</v>
      </c>
      <c r="H647" s="3"/>
      <c r="I647" s="3"/>
      <c r="J647" s="3"/>
      <c r="K647" s="3"/>
      <c r="L647" s="3"/>
      <c r="M647" s="3"/>
      <c r="N647" s="3"/>
      <c r="O647" s="3"/>
      <c r="P647" s="3"/>
      <c r="Q647" s="3"/>
    </row>
    <row r="648" spans="1:17" ht="20.100000000000001" customHeight="1" x14ac:dyDescent="0.25">
      <c r="A648" s="9" t="str">
        <f>IF(F648="","",ROW()-19-COUNTBLANK($F$20:F648))</f>
        <v/>
      </c>
      <c r="B648" s="12" t="s">
        <v>1452</v>
      </c>
      <c r="C648" s="12"/>
      <c r="D648" s="12"/>
      <c r="E648" s="12"/>
      <c r="F648" s="12"/>
      <c r="G648" s="12"/>
      <c r="H648" s="12"/>
      <c r="I648" s="12"/>
      <c r="J648" s="12"/>
      <c r="K648" s="12"/>
      <c r="L648" s="12"/>
      <c r="M648" s="12"/>
      <c r="N648" s="12"/>
      <c r="O648" s="12"/>
      <c r="P648" s="12"/>
      <c r="Q648" s="12"/>
    </row>
    <row r="649" spans="1:17" ht="60" customHeight="1" x14ac:dyDescent="0.25">
      <c r="A649" s="9">
        <f>IF(F649="","",ROW()-19-COUNTBLANK($F$20:F649))</f>
        <v>569</v>
      </c>
      <c r="B649" s="4" t="s">
        <v>1453</v>
      </c>
      <c r="C649" s="4" t="s">
        <v>1454</v>
      </c>
      <c r="D649" s="4" t="s">
        <v>1455</v>
      </c>
      <c r="E649" s="7" t="s">
        <v>1456</v>
      </c>
      <c r="F649" s="7" t="s">
        <v>1457</v>
      </c>
      <c r="G649" s="3" t="s">
        <v>50</v>
      </c>
      <c r="H649" s="3"/>
      <c r="I649" s="3"/>
      <c r="J649" s="3"/>
      <c r="K649" s="3"/>
      <c r="L649" s="3"/>
      <c r="M649" s="3"/>
      <c r="N649" s="3"/>
      <c r="O649" s="3"/>
      <c r="P649" s="3"/>
      <c r="Q649" s="3"/>
    </row>
    <row r="650" spans="1:17" ht="60" customHeight="1" x14ac:dyDescent="0.25">
      <c r="A650" s="9">
        <f>IF(F650="","",ROW()-19-COUNTBLANK($F$20:F650))</f>
        <v>570</v>
      </c>
      <c r="B650" s="4" t="s">
        <v>1458</v>
      </c>
      <c r="C650" s="4" t="s">
        <v>1459</v>
      </c>
      <c r="D650" s="4" t="s">
        <v>326</v>
      </c>
      <c r="E650" s="7" t="s">
        <v>1460</v>
      </c>
      <c r="F650" s="7" t="s">
        <v>1461</v>
      </c>
      <c r="G650" s="3" t="s">
        <v>50</v>
      </c>
      <c r="H650" s="3"/>
      <c r="I650" s="3"/>
      <c r="J650" s="3"/>
      <c r="K650" s="3"/>
      <c r="L650" s="3"/>
      <c r="M650" s="3"/>
      <c r="N650" s="3"/>
      <c r="O650" s="3"/>
      <c r="P650" s="3"/>
      <c r="Q650" s="3"/>
    </row>
    <row r="651" spans="1:17" ht="60" customHeight="1" x14ac:dyDescent="0.25">
      <c r="A651" s="9">
        <f>IF(F651="","",ROW()-19-COUNTBLANK($F$20:F651))</f>
        <v>571</v>
      </c>
      <c r="B651" s="4" t="s">
        <v>1462</v>
      </c>
      <c r="C651" s="4" t="s">
        <v>1463</v>
      </c>
      <c r="D651" s="4"/>
      <c r="E651" s="7" t="s">
        <v>1464</v>
      </c>
      <c r="F651" s="7" t="s">
        <v>1465</v>
      </c>
      <c r="G651" s="3" t="s">
        <v>50</v>
      </c>
      <c r="H651" s="3"/>
      <c r="I651" s="3"/>
      <c r="J651" s="3"/>
      <c r="K651" s="3"/>
      <c r="L651" s="3"/>
      <c r="M651" s="3"/>
      <c r="N651" s="3"/>
      <c r="O651" s="3"/>
      <c r="P651" s="3"/>
      <c r="Q651" s="3"/>
    </row>
    <row r="652" spans="1:17" ht="20.100000000000001" customHeight="1" x14ac:dyDescent="0.25">
      <c r="A652" s="9" t="str">
        <f>IF(F652="","",ROW()-19-COUNTBLANK($F$20:F652))</f>
        <v/>
      </c>
      <c r="B652" s="12" t="s">
        <v>1466</v>
      </c>
      <c r="C652" s="12"/>
      <c r="D652" s="12"/>
      <c r="E652" s="12"/>
      <c r="F652" s="12"/>
      <c r="G652" s="12"/>
      <c r="H652" s="12"/>
      <c r="I652" s="12"/>
      <c r="J652" s="12"/>
      <c r="K652" s="12"/>
      <c r="L652" s="12"/>
      <c r="M652" s="12"/>
      <c r="N652" s="12"/>
      <c r="O652" s="12"/>
      <c r="P652" s="12"/>
      <c r="Q652" s="12"/>
    </row>
    <row r="653" spans="1:17" ht="60" customHeight="1" x14ac:dyDescent="0.25">
      <c r="A653" s="9">
        <f>IF(F653="","",ROW()-19-COUNTBLANK($F$20:F653))</f>
        <v>572</v>
      </c>
      <c r="B653" s="4" t="s">
        <v>1467</v>
      </c>
      <c r="C653" s="4" t="s">
        <v>1468</v>
      </c>
      <c r="D653" s="4" t="s">
        <v>1469</v>
      </c>
      <c r="E653" s="7" t="s">
        <v>1470</v>
      </c>
      <c r="F653" s="7" t="s">
        <v>1471</v>
      </c>
      <c r="G653" s="3" t="s">
        <v>50</v>
      </c>
      <c r="H653" s="3"/>
      <c r="I653" s="3"/>
      <c r="J653" s="3"/>
      <c r="K653" s="3"/>
      <c r="L653" s="3"/>
      <c r="M653" s="3"/>
      <c r="N653" s="3"/>
      <c r="O653" s="3"/>
      <c r="P653" s="3"/>
      <c r="Q653" s="3"/>
    </row>
    <row r="654" spans="1:17" ht="60" customHeight="1" x14ac:dyDescent="0.25">
      <c r="A654" s="9">
        <f>IF(F654="","",ROW()-19-COUNTBLANK($F$20:F654))</f>
        <v>573</v>
      </c>
      <c r="B654" s="4" t="s">
        <v>1472</v>
      </c>
      <c r="C654" s="4" t="s">
        <v>1473</v>
      </c>
      <c r="D654" s="4"/>
      <c r="E654" s="7" t="s">
        <v>1474</v>
      </c>
      <c r="F654" s="7" t="s">
        <v>1475</v>
      </c>
      <c r="G654" s="3" t="s">
        <v>55</v>
      </c>
      <c r="H654" s="3"/>
      <c r="I654" s="3"/>
      <c r="J654" s="3"/>
      <c r="K654" s="3"/>
      <c r="L654" s="3"/>
      <c r="M654" s="3"/>
      <c r="N654" s="3"/>
      <c r="O654" s="3"/>
      <c r="P654" s="3"/>
      <c r="Q654" s="3"/>
    </row>
    <row r="655" spans="1:17" ht="60" customHeight="1" x14ac:dyDescent="0.25">
      <c r="A655" s="9">
        <f>IF(F655="","",ROW()-19-COUNTBLANK($F$20:F655))</f>
        <v>574</v>
      </c>
      <c r="B655" s="4" t="s">
        <v>1476</v>
      </c>
      <c r="C655" s="4" t="s">
        <v>1477</v>
      </c>
      <c r="D655" s="4" t="s">
        <v>1478</v>
      </c>
      <c r="E655" s="7" t="s">
        <v>1479</v>
      </c>
      <c r="F655" s="7" t="s">
        <v>1480</v>
      </c>
      <c r="G655" s="3" t="s">
        <v>50</v>
      </c>
      <c r="H655" s="3"/>
      <c r="I655" s="3"/>
      <c r="J655" s="3"/>
      <c r="K655" s="3"/>
      <c r="L655" s="3"/>
      <c r="M655" s="3"/>
      <c r="N655" s="3"/>
      <c r="O655" s="3"/>
      <c r="P655" s="3"/>
      <c r="Q655" s="3"/>
    </row>
    <row r="656" spans="1:17" ht="60" customHeight="1" x14ac:dyDescent="0.25">
      <c r="A656" s="9">
        <f>IF(F656="","",ROW()-19-COUNTBLANK($F$20:F656))</f>
        <v>575</v>
      </c>
      <c r="B656" s="4" t="s">
        <v>1481</v>
      </c>
      <c r="C656" s="4" t="s">
        <v>1482</v>
      </c>
      <c r="D656" s="4" t="s">
        <v>1483</v>
      </c>
      <c r="E656" s="7" t="s">
        <v>1484</v>
      </c>
      <c r="F656" s="7" t="s">
        <v>1485</v>
      </c>
      <c r="G656" s="3" t="s">
        <v>50</v>
      </c>
      <c r="H656" s="3"/>
      <c r="I656" s="3"/>
      <c r="J656" s="3"/>
      <c r="K656" s="3"/>
      <c r="L656" s="3"/>
      <c r="M656" s="3"/>
      <c r="N656" s="3"/>
      <c r="O656" s="3"/>
      <c r="P656" s="3"/>
      <c r="Q656" s="3"/>
    </row>
    <row r="657" spans="1:17" ht="60" customHeight="1" x14ac:dyDescent="0.25">
      <c r="A657" s="9">
        <f>IF(F657="","",ROW()-19-COUNTBLANK($F$20:F657))</f>
        <v>576</v>
      </c>
      <c r="B657" s="4" t="s">
        <v>1486</v>
      </c>
      <c r="C657" s="4" t="s">
        <v>1487</v>
      </c>
      <c r="D657" s="4" t="s">
        <v>1488</v>
      </c>
      <c r="E657" s="7" t="s">
        <v>1489</v>
      </c>
      <c r="F657" s="7" t="s">
        <v>1490</v>
      </c>
      <c r="G657" s="3" t="s">
        <v>50</v>
      </c>
      <c r="H657" s="3"/>
      <c r="I657" s="3"/>
      <c r="J657" s="3"/>
      <c r="K657" s="3"/>
      <c r="L657" s="3"/>
      <c r="M657" s="3"/>
      <c r="N657" s="3"/>
      <c r="O657" s="3"/>
      <c r="P657" s="3"/>
      <c r="Q657" s="3"/>
    </row>
    <row r="658" spans="1:17" ht="60" customHeight="1" x14ac:dyDescent="0.25">
      <c r="A658" s="9">
        <f>IF(F658="","",ROW()-19-COUNTBLANK($F$20:F658))</f>
        <v>577</v>
      </c>
      <c r="B658" s="4" t="s">
        <v>1491</v>
      </c>
      <c r="C658" s="4" t="s">
        <v>1492</v>
      </c>
      <c r="D658" s="4" t="s">
        <v>1493</v>
      </c>
      <c r="E658" s="7" t="s">
        <v>1494</v>
      </c>
      <c r="F658" s="7" t="s">
        <v>1495</v>
      </c>
      <c r="G658" s="3" t="s">
        <v>50</v>
      </c>
      <c r="H658" s="3"/>
      <c r="I658" s="3"/>
      <c r="J658" s="3"/>
      <c r="K658" s="3"/>
      <c r="L658" s="3"/>
      <c r="M658" s="3"/>
      <c r="N658" s="3"/>
      <c r="O658" s="3"/>
      <c r="P658" s="3"/>
      <c r="Q658" s="3"/>
    </row>
    <row r="659" spans="1:17" ht="60" customHeight="1" x14ac:dyDescent="0.25">
      <c r="A659" s="9">
        <f>IF(F659="","",ROW()-19-COUNTBLANK($F$20:F659))</f>
        <v>578</v>
      </c>
      <c r="B659" s="4" t="s">
        <v>1496</v>
      </c>
      <c r="C659" s="4" t="s">
        <v>1497</v>
      </c>
      <c r="D659" s="4" t="s">
        <v>1498</v>
      </c>
      <c r="E659" s="7" t="s">
        <v>1499</v>
      </c>
      <c r="F659" s="7" t="s">
        <v>1500</v>
      </c>
      <c r="G659" s="3" t="s">
        <v>50</v>
      </c>
      <c r="H659" s="3"/>
      <c r="I659" s="3"/>
      <c r="J659" s="3"/>
      <c r="K659" s="3"/>
      <c r="L659" s="3"/>
      <c r="M659" s="3"/>
      <c r="N659" s="3"/>
      <c r="O659" s="3"/>
      <c r="P659" s="3"/>
      <c r="Q659" s="3"/>
    </row>
    <row r="660" spans="1:17" ht="60" customHeight="1" x14ac:dyDescent="0.25">
      <c r="A660" s="9">
        <f>IF(F660="","",ROW()-19-COUNTBLANK($F$20:F660))</f>
        <v>579</v>
      </c>
      <c r="B660" s="4" t="s">
        <v>1501</v>
      </c>
      <c r="C660" s="4" t="s">
        <v>1502</v>
      </c>
      <c r="D660" s="4" t="s">
        <v>1503</v>
      </c>
      <c r="E660" s="7" t="s">
        <v>1504</v>
      </c>
      <c r="F660" s="7" t="s">
        <v>1505</v>
      </c>
      <c r="G660" s="3" t="s">
        <v>50</v>
      </c>
      <c r="H660" s="3"/>
      <c r="I660" s="3"/>
      <c r="J660" s="3"/>
      <c r="K660" s="3"/>
      <c r="L660" s="3"/>
      <c r="M660" s="3"/>
      <c r="N660" s="3"/>
      <c r="O660" s="3"/>
      <c r="P660" s="3"/>
      <c r="Q660" s="3"/>
    </row>
    <row r="661" spans="1:17" ht="60" customHeight="1" x14ac:dyDescent="0.25">
      <c r="A661" s="9">
        <f>IF(F661="","",ROW()-19-COUNTBLANK($F$20:F661))</f>
        <v>580</v>
      </c>
      <c r="B661" s="4" t="s">
        <v>1506</v>
      </c>
      <c r="C661" s="4" t="s">
        <v>1507</v>
      </c>
      <c r="D661" s="4" t="s">
        <v>1508</v>
      </c>
      <c r="E661" s="7" t="s">
        <v>1509</v>
      </c>
      <c r="F661" s="7" t="s">
        <v>1510</v>
      </c>
      <c r="G661" s="3" t="s">
        <v>50</v>
      </c>
      <c r="H661" s="3"/>
      <c r="I661" s="3"/>
      <c r="J661" s="3"/>
      <c r="K661" s="3"/>
      <c r="L661" s="3"/>
      <c r="M661" s="3"/>
      <c r="N661" s="3"/>
      <c r="O661" s="3"/>
      <c r="P661" s="3"/>
      <c r="Q661" s="3"/>
    </row>
    <row r="662" spans="1:17" ht="60" customHeight="1" x14ac:dyDescent="0.25">
      <c r="A662" s="9">
        <f>IF(F662="","",ROW()-19-COUNTBLANK($F$20:F662))</f>
        <v>581</v>
      </c>
      <c r="B662" s="4" t="s">
        <v>1511</v>
      </c>
      <c r="C662" s="4" t="s">
        <v>1512</v>
      </c>
      <c r="D662" s="4" t="s">
        <v>1513</v>
      </c>
      <c r="E662" s="7" t="s">
        <v>1514</v>
      </c>
      <c r="F662" s="7" t="s">
        <v>1515</v>
      </c>
      <c r="G662" s="3" t="s">
        <v>50</v>
      </c>
      <c r="H662" s="3"/>
      <c r="I662" s="3"/>
      <c r="J662" s="3"/>
      <c r="K662" s="3"/>
      <c r="L662" s="3"/>
      <c r="M662" s="3"/>
      <c r="N662" s="3"/>
      <c r="O662" s="3"/>
      <c r="P662" s="3"/>
      <c r="Q662" s="3"/>
    </row>
    <row r="663" spans="1:17" ht="20.100000000000001" customHeight="1" x14ac:dyDescent="0.25">
      <c r="A663" s="9" t="str">
        <f>IF(F663="","",ROW()-19-COUNTBLANK($F$20:F663))</f>
        <v/>
      </c>
      <c r="B663" s="12" t="s">
        <v>1516</v>
      </c>
      <c r="C663" s="12"/>
      <c r="D663" s="12"/>
      <c r="E663" s="12"/>
      <c r="F663" s="12"/>
      <c r="G663" s="12"/>
      <c r="H663" s="12"/>
      <c r="I663" s="12"/>
      <c r="J663" s="12"/>
      <c r="K663" s="12"/>
      <c r="L663" s="12"/>
      <c r="M663" s="12"/>
      <c r="N663" s="12"/>
      <c r="O663" s="12"/>
      <c r="P663" s="12"/>
      <c r="Q663" s="12"/>
    </row>
    <row r="664" spans="1:17" ht="60" customHeight="1" x14ac:dyDescent="0.25">
      <c r="A664" s="9">
        <f>IF(F664="","",ROW()-19-COUNTBLANK($F$20:F664))</f>
        <v>582</v>
      </c>
      <c r="B664" s="4" t="s">
        <v>1517</v>
      </c>
      <c r="C664" s="4" t="s">
        <v>1518</v>
      </c>
      <c r="D664" s="4" t="s">
        <v>1519</v>
      </c>
      <c r="E664" s="7" t="s">
        <v>1520</v>
      </c>
      <c r="F664" s="7" t="s">
        <v>1521</v>
      </c>
      <c r="G664" s="3" t="s">
        <v>50</v>
      </c>
      <c r="H664" s="3"/>
      <c r="I664" s="3"/>
      <c r="J664" s="3"/>
      <c r="K664" s="3"/>
      <c r="L664" s="3"/>
      <c r="M664" s="3"/>
      <c r="N664" s="3"/>
      <c r="O664" s="3"/>
      <c r="P664" s="3"/>
      <c r="Q664" s="3"/>
    </row>
    <row r="665" spans="1:17" ht="60" customHeight="1" x14ac:dyDescent="0.25">
      <c r="A665" s="9">
        <f>IF(F665="","",ROW()-19-COUNTBLANK($F$20:F665))</f>
        <v>583</v>
      </c>
      <c r="B665" s="4" t="s">
        <v>1522</v>
      </c>
      <c r="C665" s="4" t="s">
        <v>1523</v>
      </c>
      <c r="D665" s="4"/>
      <c r="E665" s="7" t="s">
        <v>1524</v>
      </c>
      <c r="F665" s="7" t="s">
        <v>1525</v>
      </c>
      <c r="G665" s="3" t="s">
        <v>50</v>
      </c>
      <c r="H665" s="3"/>
      <c r="I665" s="3"/>
      <c r="J665" s="3"/>
      <c r="K665" s="3"/>
      <c r="L665" s="3"/>
      <c r="M665" s="3"/>
      <c r="N665" s="3"/>
      <c r="O665" s="3"/>
      <c r="P665" s="3"/>
      <c r="Q665" s="3"/>
    </row>
    <row r="666" spans="1:17" ht="60" customHeight="1" x14ac:dyDescent="0.25">
      <c r="A666" s="9">
        <f>IF(F666="","",ROW()-19-COUNTBLANK($F$20:F666))</f>
        <v>584</v>
      </c>
      <c r="B666" s="4" t="s">
        <v>1526</v>
      </c>
      <c r="C666" s="4" t="s">
        <v>1527</v>
      </c>
      <c r="D666" s="4" t="s">
        <v>858</v>
      </c>
      <c r="E666" s="7" t="s">
        <v>859</v>
      </c>
      <c r="F666" s="7" t="s">
        <v>1528</v>
      </c>
      <c r="G666" s="3" t="s">
        <v>50</v>
      </c>
      <c r="H666" s="3"/>
      <c r="I666" s="3"/>
      <c r="J666" s="3"/>
      <c r="K666" s="3"/>
      <c r="L666" s="3"/>
      <c r="M666" s="3"/>
      <c r="N666" s="3"/>
      <c r="O666" s="3"/>
      <c r="P666" s="3"/>
      <c r="Q666" s="3"/>
    </row>
    <row r="667" spans="1:17" ht="60" customHeight="1" x14ac:dyDescent="0.25">
      <c r="A667" s="9">
        <f>IF(F667="","",ROW()-19-COUNTBLANK($F$20:F667))</f>
        <v>585</v>
      </c>
      <c r="B667" s="4" t="s">
        <v>1529</v>
      </c>
      <c r="C667" s="4" t="s">
        <v>1527</v>
      </c>
      <c r="D667" s="4" t="s">
        <v>1530</v>
      </c>
      <c r="E667" s="7" t="s">
        <v>859</v>
      </c>
      <c r="F667" s="7" t="s">
        <v>1531</v>
      </c>
      <c r="G667" s="3" t="s">
        <v>50</v>
      </c>
      <c r="H667" s="3"/>
      <c r="I667" s="3"/>
      <c r="J667" s="3"/>
      <c r="K667" s="3"/>
      <c r="L667" s="3"/>
      <c r="M667" s="3"/>
      <c r="N667" s="3"/>
      <c r="O667" s="3"/>
      <c r="P667" s="3"/>
      <c r="Q667" s="3"/>
    </row>
    <row r="668" spans="1:17" ht="60" customHeight="1" x14ac:dyDescent="0.25">
      <c r="A668" s="9">
        <f>IF(F668="","",ROW()-19-COUNTBLANK($F$20:F668))</f>
        <v>586</v>
      </c>
      <c r="B668" s="4" t="s">
        <v>1532</v>
      </c>
      <c r="C668" s="4" t="s">
        <v>1533</v>
      </c>
      <c r="D668" s="4" t="s">
        <v>1534</v>
      </c>
      <c r="E668" s="7" t="s">
        <v>1535</v>
      </c>
      <c r="F668" s="7" t="s">
        <v>1536</v>
      </c>
      <c r="G668" s="3" t="s">
        <v>50</v>
      </c>
      <c r="H668" s="3"/>
      <c r="I668" s="3"/>
      <c r="J668" s="3"/>
      <c r="K668" s="3"/>
      <c r="L668" s="3"/>
      <c r="M668" s="3"/>
      <c r="N668" s="3"/>
      <c r="O668" s="3"/>
      <c r="P668" s="3"/>
      <c r="Q668" s="3"/>
    </row>
    <row r="669" spans="1:17" ht="60" customHeight="1" x14ac:dyDescent="0.25">
      <c r="A669" s="9">
        <f>IF(F669="","",ROW()-19-COUNTBLANK($F$20:F669))</f>
        <v>587</v>
      </c>
      <c r="B669" s="4" t="s">
        <v>1537</v>
      </c>
      <c r="C669" s="4" t="s">
        <v>1538</v>
      </c>
      <c r="D669" s="4" t="s">
        <v>1539</v>
      </c>
      <c r="E669" s="7" t="s">
        <v>1535</v>
      </c>
      <c r="F669" s="7" t="s">
        <v>1540</v>
      </c>
      <c r="G669" s="3" t="s">
        <v>50</v>
      </c>
      <c r="H669" s="3"/>
      <c r="I669" s="3"/>
      <c r="J669" s="3"/>
      <c r="K669" s="3"/>
      <c r="L669" s="3"/>
      <c r="M669" s="3"/>
      <c r="N669" s="3"/>
      <c r="O669" s="3"/>
      <c r="P669" s="3"/>
      <c r="Q669" s="3"/>
    </row>
    <row r="670" spans="1:17" ht="60" customHeight="1" x14ac:dyDescent="0.25">
      <c r="A670" s="9">
        <f>IF(F670="","",ROW()-19-COUNTBLANK($F$20:F670))</f>
        <v>588</v>
      </c>
      <c r="B670" s="4" t="s">
        <v>1541</v>
      </c>
      <c r="C670" s="4" t="s">
        <v>1542</v>
      </c>
      <c r="D670" s="4" t="s">
        <v>1543</v>
      </c>
      <c r="E670" s="7" t="s">
        <v>1544</v>
      </c>
      <c r="F670" s="7" t="s">
        <v>1545</v>
      </c>
      <c r="G670" s="3" t="s">
        <v>50</v>
      </c>
      <c r="H670" s="3"/>
      <c r="I670" s="3"/>
      <c r="J670" s="3"/>
      <c r="K670" s="3"/>
      <c r="L670" s="3"/>
      <c r="M670" s="3"/>
      <c r="N670" s="3"/>
      <c r="O670" s="3"/>
      <c r="P670" s="3"/>
      <c r="Q670" s="3"/>
    </row>
    <row r="671" spans="1:17" ht="20.100000000000001" customHeight="1" x14ac:dyDescent="0.25">
      <c r="A671" s="9" t="str">
        <f>IF(F671="","",ROW()-19-COUNTBLANK($F$20:F671))</f>
        <v/>
      </c>
      <c r="B671" s="12" t="s">
        <v>1546</v>
      </c>
      <c r="C671" s="12"/>
      <c r="D671" s="12"/>
      <c r="E671" s="12"/>
      <c r="F671" s="12"/>
      <c r="G671" s="12"/>
      <c r="H671" s="12"/>
      <c r="I671" s="12"/>
      <c r="J671" s="12"/>
      <c r="K671" s="12"/>
      <c r="L671" s="12"/>
      <c r="M671" s="12"/>
      <c r="N671" s="12"/>
      <c r="O671" s="12"/>
      <c r="P671" s="12"/>
      <c r="Q671" s="12"/>
    </row>
    <row r="672" spans="1:17" ht="60" customHeight="1" x14ac:dyDescent="0.25">
      <c r="A672" s="9">
        <f>IF(F672="","",ROW()-19-COUNTBLANK($F$20:F672))</f>
        <v>589</v>
      </c>
      <c r="B672" s="4" t="s">
        <v>1547</v>
      </c>
      <c r="C672" s="4" t="s">
        <v>1548</v>
      </c>
      <c r="D672" s="4" t="s">
        <v>1549</v>
      </c>
      <c r="E672" s="7" t="s">
        <v>1550</v>
      </c>
      <c r="F672" s="7" t="s">
        <v>1551</v>
      </c>
      <c r="G672" s="3" t="s">
        <v>50</v>
      </c>
      <c r="H672" s="3"/>
      <c r="I672" s="3"/>
      <c r="J672" s="3"/>
      <c r="K672" s="3"/>
      <c r="L672" s="3"/>
      <c r="M672" s="3"/>
      <c r="N672" s="3"/>
      <c r="O672" s="3"/>
      <c r="P672" s="3"/>
      <c r="Q672" s="3"/>
    </row>
    <row r="673" spans="1:17" ht="60" customHeight="1" x14ac:dyDescent="0.25">
      <c r="A673" s="9">
        <f>IF(F673="","",ROW()-19-COUNTBLANK($F$20:F673))</f>
        <v>590</v>
      </c>
      <c r="B673" s="4" t="s">
        <v>1552</v>
      </c>
      <c r="C673" s="4" t="s">
        <v>1553</v>
      </c>
      <c r="D673" s="4" t="s">
        <v>1554</v>
      </c>
      <c r="E673" s="7" t="s">
        <v>1550</v>
      </c>
      <c r="F673" s="7" t="s">
        <v>1555</v>
      </c>
      <c r="G673" s="3" t="s">
        <v>50</v>
      </c>
      <c r="H673" s="3"/>
      <c r="I673" s="3"/>
      <c r="J673" s="3"/>
      <c r="K673" s="3"/>
      <c r="L673" s="3"/>
      <c r="M673" s="3"/>
      <c r="N673" s="3"/>
      <c r="O673" s="3"/>
      <c r="P673" s="3"/>
      <c r="Q673" s="3"/>
    </row>
    <row r="674" spans="1:17" ht="60" customHeight="1" x14ac:dyDescent="0.25">
      <c r="A674" s="9">
        <f>IF(F674="","",ROW()-19-COUNTBLANK($F$20:F674))</f>
        <v>591</v>
      </c>
      <c r="B674" s="4" t="s">
        <v>1556</v>
      </c>
      <c r="C674" s="4" t="s">
        <v>1557</v>
      </c>
      <c r="D674" s="4" t="s">
        <v>1554</v>
      </c>
      <c r="E674" s="7" t="s">
        <v>1558</v>
      </c>
      <c r="F674" s="7" t="s">
        <v>1559</v>
      </c>
      <c r="G674" s="3" t="s">
        <v>50</v>
      </c>
      <c r="H674" s="3"/>
      <c r="I674" s="3"/>
      <c r="J674" s="3"/>
      <c r="K674" s="3"/>
      <c r="L674" s="3"/>
      <c r="M674" s="3"/>
      <c r="N674" s="3"/>
      <c r="O674" s="3"/>
      <c r="P674" s="3"/>
      <c r="Q674" s="3"/>
    </row>
    <row r="675" spans="1:17" ht="60" customHeight="1" x14ac:dyDescent="0.25">
      <c r="A675" s="9">
        <f>IF(F675="","",ROW()-19-COUNTBLANK($F$20:F675))</f>
        <v>592</v>
      </c>
      <c r="B675" s="4" t="s">
        <v>1560</v>
      </c>
      <c r="C675" s="4" t="s">
        <v>1561</v>
      </c>
      <c r="D675" s="4" t="s">
        <v>1562</v>
      </c>
      <c r="E675" s="7" t="s">
        <v>1563</v>
      </c>
      <c r="F675" s="7" t="s">
        <v>1564</v>
      </c>
      <c r="G675" s="3" t="s">
        <v>50</v>
      </c>
      <c r="H675" s="3"/>
      <c r="I675" s="3"/>
      <c r="J675" s="3"/>
      <c r="K675" s="3"/>
      <c r="L675" s="3"/>
      <c r="M675" s="3"/>
      <c r="N675" s="3"/>
      <c r="O675" s="3"/>
      <c r="P675" s="3"/>
      <c r="Q675" s="3"/>
    </row>
    <row r="676" spans="1:17" ht="60" customHeight="1" x14ac:dyDescent="0.25">
      <c r="A676" s="9">
        <f>IF(F676="","",ROW()-19-COUNTBLANK($F$20:F676))</f>
        <v>593</v>
      </c>
      <c r="B676" s="4" t="s">
        <v>1565</v>
      </c>
      <c r="C676" s="4" t="s">
        <v>1566</v>
      </c>
      <c r="D676" s="4" t="s">
        <v>1567</v>
      </c>
      <c r="E676" s="7" t="s">
        <v>1568</v>
      </c>
      <c r="F676" s="7" t="s">
        <v>1569</v>
      </c>
      <c r="G676" s="3" t="s">
        <v>50</v>
      </c>
      <c r="H676" s="3"/>
      <c r="I676" s="3"/>
      <c r="J676" s="3"/>
      <c r="K676" s="3"/>
      <c r="L676" s="3"/>
      <c r="M676" s="3"/>
      <c r="N676" s="3"/>
      <c r="O676" s="3"/>
      <c r="P676" s="3"/>
      <c r="Q676" s="3"/>
    </row>
    <row r="677" spans="1:17" ht="60" customHeight="1" x14ac:dyDescent="0.25">
      <c r="A677" s="9">
        <f>IF(F677="","",ROW()-19-COUNTBLANK($F$20:F677))</f>
        <v>594</v>
      </c>
      <c r="B677" s="4" t="s">
        <v>1570</v>
      </c>
      <c r="C677" s="4" t="s">
        <v>1571</v>
      </c>
      <c r="D677" s="4" t="s">
        <v>1572</v>
      </c>
      <c r="E677" s="7" t="s">
        <v>1573</v>
      </c>
      <c r="F677" s="7" t="s">
        <v>1574</v>
      </c>
      <c r="G677" s="3" t="s">
        <v>50</v>
      </c>
      <c r="H677" s="3"/>
      <c r="I677" s="3"/>
      <c r="J677" s="3"/>
      <c r="K677" s="3"/>
      <c r="L677" s="3"/>
      <c r="M677" s="3"/>
      <c r="N677" s="3"/>
      <c r="O677" s="3"/>
      <c r="P677" s="3"/>
      <c r="Q677" s="3"/>
    </row>
  </sheetData>
  <mergeCells count="90">
    <mergeCell ref="P15:P17"/>
    <mergeCell ref="B362:B365"/>
    <mergeCell ref="C411:C412"/>
    <mergeCell ref="C67:C68"/>
    <mergeCell ref="B211:B214"/>
    <mergeCell ref="B285:B288"/>
    <mergeCell ref="B93:B108"/>
    <mergeCell ref="B215:B221"/>
    <mergeCell ref="B403:B406"/>
    <mergeCell ref="C289:C290"/>
    <mergeCell ref="B358:B360"/>
    <mergeCell ref="C313:C314"/>
    <mergeCell ref="B383:B386"/>
    <mergeCell ref="B1:F1"/>
    <mergeCell ref="C321:C323"/>
    <mergeCell ref="B261:B267"/>
    <mergeCell ref="C362:C363"/>
    <mergeCell ref="C265:C267"/>
    <mergeCell ref="B77:B92"/>
    <mergeCell ref="C48:C49"/>
    <mergeCell ref="B229:B231"/>
    <mergeCell ref="B253:B255"/>
    <mergeCell ref="C235:C236"/>
    <mergeCell ref="E15:E17"/>
    <mergeCell ref="B193:B196"/>
    <mergeCell ref="C285:C286"/>
    <mergeCell ref="D15:D17"/>
    <mergeCell ref="C219:C221"/>
    <mergeCell ref="B317:B323"/>
    <mergeCell ref="C419:C421"/>
    <mergeCell ref="C193:C194"/>
    <mergeCell ref="B309:B311"/>
    <mergeCell ref="B509:B512"/>
    <mergeCell ref="H15:H17"/>
    <mergeCell ref="C257:C258"/>
    <mergeCell ref="B375:B378"/>
    <mergeCell ref="G15:G17"/>
    <mergeCell ref="B205:B207"/>
    <mergeCell ref="C293:C295"/>
    <mergeCell ref="C261:C262"/>
    <mergeCell ref="B235:B238"/>
    <mergeCell ref="C63:C66"/>
    <mergeCell ref="C383:C384"/>
    <mergeCell ref="B289:B295"/>
    <mergeCell ref="B51:B62"/>
    <mergeCell ref="B411:B414"/>
    <mergeCell ref="C55:C57"/>
    <mergeCell ref="B379:B381"/>
    <mergeCell ref="B15:B17"/>
    <mergeCell ref="C215:C216"/>
    <mergeCell ref="B19:F19"/>
    <mergeCell ref="O15:O17"/>
    <mergeCell ref="B354:B357"/>
    <mergeCell ref="B63:B73"/>
    <mergeCell ref="I15:N15"/>
    <mergeCell ref="C317:C318"/>
    <mergeCell ref="B337:B339"/>
    <mergeCell ref="B48:B50"/>
    <mergeCell ref="A15:A17"/>
    <mergeCell ref="C391:C393"/>
    <mergeCell ref="B603:F603"/>
    <mergeCell ref="B249:B252"/>
    <mergeCell ref="C341:C342"/>
    <mergeCell ref="C51:C54"/>
    <mergeCell ref="B190:B192"/>
    <mergeCell ref="F15:F17"/>
    <mergeCell ref="B208:B210"/>
    <mergeCell ref="B257:B260"/>
    <mergeCell ref="B313:B316"/>
    <mergeCell ref="B305:B308"/>
    <mergeCell ref="B387:B393"/>
    <mergeCell ref="C387:C388"/>
    <mergeCell ref="B277:B280"/>
    <mergeCell ref="B407:B409"/>
    <mergeCell ref="B187:B189"/>
    <mergeCell ref="Q15:Q17"/>
    <mergeCell ref="B503:B508"/>
    <mergeCell ref="B18:F18"/>
    <mergeCell ref="B281:B283"/>
    <mergeCell ref="C211:C212"/>
    <mergeCell ref="I16:N16"/>
    <mergeCell ref="B341:B344"/>
    <mergeCell ref="B116:B117"/>
    <mergeCell ref="B333:B336"/>
    <mergeCell ref="B498:B502"/>
    <mergeCell ref="C15:C17"/>
    <mergeCell ref="B232:B234"/>
    <mergeCell ref="C415:C416"/>
    <mergeCell ref="B415:B421"/>
    <mergeCell ref="B152:B16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18"/>
  <sheetViews>
    <sheetView workbookViewId="0"/>
  </sheetViews>
  <sheetFormatPr defaultRowHeight="15" x14ac:dyDescent="0.25"/>
  <cols>
    <col min="1" max="1" width="13" customWidth="1"/>
    <col min="2" max="2" width="33.5703125" customWidth="1"/>
    <col min="3" max="4" width="28" customWidth="1"/>
    <col min="5" max="5" width="44.28515625" customWidth="1"/>
    <col min="6" max="6" width="59.7109375" customWidth="1"/>
    <col min="7" max="7" width="12.5703125" customWidth="1"/>
    <col min="8" max="17" width="13" customWidth="1"/>
  </cols>
  <sheetData>
    <row r="1" spans="1:17" x14ac:dyDescent="0.25">
      <c r="B1" s="25" t="s">
        <v>20</v>
      </c>
      <c r="C1" s="14"/>
      <c r="D1" s="14"/>
      <c r="E1" s="14"/>
      <c r="F1" s="14"/>
    </row>
    <row r="3" spans="1:17" ht="47.25" x14ac:dyDescent="0.25">
      <c r="B3" s="6" t="s">
        <v>21</v>
      </c>
      <c r="C3" s="7" t="s">
        <v>13</v>
      </c>
      <c r="E3" s="6" t="s">
        <v>22</v>
      </c>
      <c r="F3" s="8"/>
    </row>
    <row r="4" spans="1:17" ht="15.75" x14ac:dyDescent="0.25">
      <c r="B4" s="6" t="s">
        <v>23</v>
      </c>
      <c r="C4" s="7" t="s">
        <v>24</v>
      </c>
      <c r="E4" s="6" t="s">
        <v>25</v>
      </c>
    </row>
    <row r="6" spans="1:17" ht="15.75" x14ac:dyDescent="0.25">
      <c r="B6" s="6" t="s">
        <v>3</v>
      </c>
    </row>
    <row r="7" spans="1:17" ht="15.75" x14ac:dyDescent="0.25">
      <c r="B7" s="6" t="s">
        <v>4</v>
      </c>
      <c r="C7" s="9">
        <f>COUNTIF($O$20:$O$218,"P")</f>
        <v>0</v>
      </c>
    </row>
    <row r="8" spans="1:17" ht="31.5" x14ac:dyDescent="0.25">
      <c r="B8" s="6" t="s">
        <v>5</v>
      </c>
      <c r="C8" s="9">
        <f>COUNTIF($O$20:$O$218,"F")</f>
        <v>0</v>
      </c>
    </row>
    <row r="9" spans="1:17" ht="31.5" x14ac:dyDescent="0.25">
      <c r="B9" s="6" t="s">
        <v>6</v>
      </c>
      <c r="C9" s="9">
        <f>COUNTIF($O$20:$O$218,"PE")</f>
        <v>0</v>
      </c>
    </row>
    <row r="10" spans="1:17" ht="31.5" x14ac:dyDescent="0.25">
      <c r="B10" s="6" t="s">
        <v>7</v>
      </c>
      <c r="C10" s="9">
        <f>C11-C7-C8-C9</f>
        <v>174</v>
      </c>
    </row>
    <row r="11" spans="1:17" ht="15.75" x14ac:dyDescent="0.25">
      <c r="B11" s="6" t="s">
        <v>8</v>
      </c>
      <c r="C11" s="9">
        <f>COUNTA($F$20:$F$218)</f>
        <v>174</v>
      </c>
    </row>
    <row r="15" spans="1:17" x14ac:dyDescent="0.25">
      <c r="A15" s="20" t="s">
        <v>26</v>
      </c>
      <c r="B15" s="20" t="s">
        <v>27</v>
      </c>
      <c r="C15" s="20" t="s">
        <v>28</v>
      </c>
      <c r="D15" s="20" t="s">
        <v>29</v>
      </c>
      <c r="E15" s="20" t="s">
        <v>30</v>
      </c>
      <c r="F15" s="20" t="s">
        <v>31</v>
      </c>
      <c r="G15" s="20" t="s">
        <v>32</v>
      </c>
      <c r="H15" s="20" t="s">
        <v>33</v>
      </c>
      <c r="I15" s="20" t="s">
        <v>34</v>
      </c>
      <c r="J15" s="14"/>
      <c r="K15" s="14"/>
      <c r="L15" s="14"/>
      <c r="M15" s="14"/>
      <c r="N15" s="14"/>
      <c r="O15" s="20" t="s">
        <v>35</v>
      </c>
      <c r="P15" s="20" t="s">
        <v>36</v>
      </c>
      <c r="Q15" s="20" t="s">
        <v>37</v>
      </c>
    </row>
    <row r="16" spans="1:17" x14ac:dyDescent="0.25">
      <c r="A16" s="14"/>
      <c r="B16" s="14"/>
      <c r="C16" s="14"/>
      <c r="D16" s="14"/>
      <c r="E16" s="14"/>
      <c r="F16" s="14"/>
      <c r="G16" s="14"/>
      <c r="H16" s="14"/>
      <c r="I16" s="20" t="s">
        <v>38</v>
      </c>
      <c r="J16" s="14"/>
      <c r="K16" s="14"/>
      <c r="L16" s="14"/>
      <c r="M16" s="14"/>
      <c r="N16" s="14"/>
      <c r="O16" s="14"/>
      <c r="P16" s="14"/>
      <c r="Q16" s="14"/>
    </row>
    <row r="17" spans="1:17" ht="31.5" x14ac:dyDescent="0.25">
      <c r="A17" s="14"/>
      <c r="B17" s="14"/>
      <c r="C17" s="14"/>
      <c r="D17" s="14"/>
      <c r="E17" s="14"/>
      <c r="F17" s="14"/>
      <c r="G17" s="14"/>
      <c r="H17" s="14"/>
      <c r="I17" s="10" t="s">
        <v>39</v>
      </c>
      <c r="J17" s="10" t="s">
        <v>40</v>
      </c>
      <c r="K17" s="10" t="s">
        <v>41</v>
      </c>
      <c r="L17" s="10" t="s">
        <v>40</v>
      </c>
      <c r="M17" s="10" t="s">
        <v>42</v>
      </c>
      <c r="N17" s="10" t="s">
        <v>40</v>
      </c>
      <c r="O17" s="14"/>
      <c r="P17" s="14"/>
      <c r="Q17" s="14"/>
    </row>
    <row r="18" spans="1:17" ht="80.099999999999994" customHeight="1" x14ac:dyDescent="0.25">
      <c r="B18" s="21" t="s">
        <v>1575</v>
      </c>
      <c r="C18" s="14"/>
      <c r="D18" s="14"/>
      <c r="E18" s="14"/>
      <c r="F18" s="14"/>
    </row>
    <row r="19" spans="1:17" ht="20.100000000000001" customHeight="1" x14ac:dyDescent="0.25">
      <c r="A19" s="11"/>
      <c r="B19" s="22" t="s">
        <v>44</v>
      </c>
      <c r="C19" s="23"/>
      <c r="D19" s="23"/>
      <c r="E19" s="23"/>
      <c r="F19" s="24"/>
      <c r="G19" s="11"/>
      <c r="H19" s="11"/>
      <c r="I19" s="11"/>
      <c r="J19" s="11"/>
      <c r="K19" s="11"/>
      <c r="L19" s="11"/>
      <c r="M19" s="11"/>
      <c r="N19" s="11"/>
      <c r="O19" s="11"/>
      <c r="P19" s="11"/>
      <c r="Q19" s="11"/>
    </row>
    <row r="20" spans="1:17" ht="20.100000000000001" customHeight="1" x14ac:dyDescent="0.25">
      <c r="A20" s="9" t="str">
        <f>IF(F20="","",ROW()-19-COUNTBLANK($F$20:F20))</f>
        <v/>
      </c>
      <c r="B20" s="12" t="s">
        <v>45</v>
      </c>
      <c r="C20" s="12"/>
      <c r="D20" s="12"/>
      <c r="E20" s="12"/>
      <c r="F20" s="12"/>
      <c r="G20" s="12"/>
      <c r="H20" s="12"/>
      <c r="I20" s="12"/>
      <c r="J20" s="12"/>
      <c r="K20" s="12"/>
      <c r="L20" s="12"/>
      <c r="M20" s="12"/>
      <c r="N20" s="12"/>
      <c r="O20" s="12"/>
      <c r="P20" s="12"/>
      <c r="Q20" s="12"/>
    </row>
    <row r="21" spans="1:17" ht="60" customHeight="1" x14ac:dyDescent="0.25">
      <c r="A21" s="9">
        <f>IF(F21="","",ROW()-19-COUNTBLANK($F$20:F21))</f>
        <v>1</v>
      </c>
      <c r="B21" s="4" t="s">
        <v>46</v>
      </c>
      <c r="C21" s="4" t="s">
        <v>1576</v>
      </c>
      <c r="D21" s="4"/>
      <c r="E21" s="7" t="s">
        <v>1577</v>
      </c>
      <c r="F21" s="7" t="s">
        <v>1578</v>
      </c>
      <c r="G21" s="3" t="s">
        <v>50</v>
      </c>
      <c r="H21" s="3"/>
      <c r="I21" s="3"/>
      <c r="J21" s="3"/>
      <c r="K21" s="3"/>
      <c r="L21" s="3"/>
      <c r="M21" s="3"/>
      <c r="N21" s="3"/>
      <c r="O21" s="3"/>
      <c r="P21" s="3"/>
      <c r="Q21" s="3"/>
    </row>
    <row r="22" spans="1:17" ht="60" customHeight="1" x14ac:dyDescent="0.25">
      <c r="A22" s="9">
        <f>IF(F22="","",ROW()-19-COUNTBLANK($F$20:F22))</f>
        <v>2</v>
      </c>
      <c r="B22" s="4" t="s">
        <v>51</v>
      </c>
      <c r="C22" s="4" t="s">
        <v>52</v>
      </c>
      <c r="D22" s="4"/>
      <c r="E22" s="7" t="s">
        <v>1579</v>
      </c>
      <c r="F22" s="7" t="s">
        <v>54</v>
      </c>
      <c r="G22" s="3" t="s">
        <v>55</v>
      </c>
      <c r="H22" s="3"/>
      <c r="I22" s="3"/>
      <c r="J22" s="3"/>
      <c r="K22" s="3"/>
      <c r="L22" s="3"/>
      <c r="M22" s="3"/>
      <c r="N22" s="3"/>
      <c r="O22" s="3"/>
      <c r="P22" s="3"/>
      <c r="Q22" s="3"/>
    </row>
    <row r="23" spans="1:17" ht="60" customHeight="1" x14ac:dyDescent="0.25">
      <c r="A23" s="9">
        <f>IF(F23="","",ROW()-19-COUNTBLANK($F$20:F23))</f>
        <v>3</v>
      </c>
      <c r="B23" s="4" t="s">
        <v>56</v>
      </c>
      <c r="C23" s="4" t="s">
        <v>57</v>
      </c>
      <c r="D23" s="4"/>
      <c r="E23" s="7" t="s">
        <v>1580</v>
      </c>
      <c r="F23" s="7" t="s">
        <v>1581</v>
      </c>
      <c r="G23" s="3" t="s">
        <v>55</v>
      </c>
      <c r="H23" s="3"/>
      <c r="I23" s="3"/>
      <c r="J23" s="3"/>
      <c r="K23" s="3"/>
      <c r="L23" s="3"/>
      <c r="M23" s="3"/>
      <c r="N23" s="3"/>
      <c r="O23" s="3"/>
      <c r="P23" s="3"/>
      <c r="Q23" s="3"/>
    </row>
    <row r="24" spans="1:17" ht="60" customHeight="1" x14ac:dyDescent="0.25">
      <c r="A24" s="9">
        <f>IF(F24="","",ROW()-19-COUNTBLANK($F$20:F24))</f>
        <v>4</v>
      </c>
      <c r="B24" s="4" t="s">
        <v>60</v>
      </c>
      <c r="C24" s="4" t="s">
        <v>61</v>
      </c>
      <c r="D24" s="4"/>
      <c r="E24" s="7" t="s">
        <v>1582</v>
      </c>
      <c r="F24" s="7" t="s">
        <v>63</v>
      </c>
      <c r="G24" s="3" t="s">
        <v>55</v>
      </c>
      <c r="H24" s="3"/>
      <c r="I24" s="3"/>
      <c r="J24" s="3"/>
      <c r="K24" s="3"/>
      <c r="L24" s="3"/>
      <c r="M24" s="3"/>
      <c r="N24" s="3"/>
      <c r="O24" s="3"/>
      <c r="P24" s="3"/>
      <c r="Q24" s="3"/>
    </row>
    <row r="25" spans="1:17" ht="60" customHeight="1" x14ac:dyDescent="0.25">
      <c r="A25" s="9">
        <f>IF(F25="","",ROW()-19-COUNTBLANK($F$20:F25))</f>
        <v>5</v>
      </c>
      <c r="B25" s="4" t="s">
        <v>64</v>
      </c>
      <c r="C25" s="4" t="s">
        <v>65</v>
      </c>
      <c r="D25" s="4"/>
      <c r="E25" s="7" t="s">
        <v>1583</v>
      </c>
      <c r="F25" s="7" t="s">
        <v>1584</v>
      </c>
      <c r="G25" s="3" t="s">
        <v>55</v>
      </c>
      <c r="H25" s="3"/>
      <c r="I25" s="3"/>
      <c r="J25" s="3"/>
      <c r="K25" s="3"/>
      <c r="L25" s="3"/>
      <c r="M25" s="3"/>
      <c r="N25" s="3"/>
      <c r="O25" s="3"/>
      <c r="P25" s="3"/>
      <c r="Q25" s="3"/>
    </row>
    <row r="26" spans="1:17" ht="60" customHeight="1" x14ac:dyDescent="0.25">
      <c r="A26" s="9">
        <f>IF(F26="","",ROW()-19-COUNTBLANK($F$20:F26))</f>
        <v>6</v>
      </c>
      <c r="B26" s="4" t="s">
        <v>68</v>
      </c>
      <c r="C26" s="4" t="s">
        <v>69</v>
      </c>
      <c r="D26" s="4" t="s">
        <v>70</v>
      </c>
      <c r="E26" s="7" t="s">
        <v>1585</v>
      </c>
      <c r="F26" s="7" t="s">
        <v>72</v>
      </c>
      <c r="G26" s="3" t="s">
        <v>73</v>
      </c>
      <c r="H26" s="3"/>
      <c r="I26" s="3"/>
      <c r="J26" s="3"/>
      <c r="K26" s="3"/>
      <c r="L26" s="3"/>
      <c r="M26" s="3"/>
      <c r="N26" s="3"/>
      <c r="O26" s="3"/>
      <c r="P26" s="3"/>
      <c r="Q26" s="3"/>
    </row>
    <row r="27" spans="1:17" ht="60" customHeight="1" x14ac:dyDescent="0.25">
      <c r="A27" s="9">
        <f>IF(F27="","",ROW()-19-COUNTBLANK($F$20:F27))</f>
        <v>7</v>
      </c>
      <c r="B27" s="4" t="s">
        <v>74</v>
      </c>
      <c r="C27" s="4" t="s">
        <v>75</v>
      </c>
      <c r="D27" s="4" t="s">
        <v>76</v>
      </c>
      <c r="E27" s="7" t="s">
        <v>1586</v>
      </c>
      <c r="F27" s="7" t="s">
        <v>78</v>
      </c>
      <c r="G27" s="3" t="s">
        <v>73</v>
      </c>
      <c r="H27" s="3"/>
      <c r="I27" s="3"/>
      <c r="J27" s="3"/>
      <c r="K27" s="3"/>
      <c r="L27" s="3"/>
      <c r="M27" s="3"/>
      <c r="N27" s="3"/>
      <c r="O27" s="3"/>
      <c r="P27" s="3"/>
      <c r="Q27" s="3"/>
    </row>
    <row r="28" spans="1:17" ht="20.100000000000001" customHeight="1" x14ac:dyDescent="0.25">
      <c r="A28" s="9" t="str">
        <f>IF(F28="","",ROW()-19-COUNTBLANK($F$20:F28))</f>
        <v/>
      </c>
      <c r="B28" s="12" t="s">
        <v>1587</v>
      </c>
      <c r="C28" s="12"/>
      <c r="D28" s="12"/>
      <c r="E28" s="12"/>
      <c r="F28" s="12"/>
      <c r="G28" s="12"/>
      <c r="H28" s="12"/>
      <c r="I28" s="12"/>
      <c r="J28" s="12"/>
      <c r="K28" s="12"/>
      <c r="L28" s="12"/>
      <c r="M28" s="12"/>
      <c r="N28" s="12"/>
      <c r="O28" s="12"/>
      <c r="P28" s="12"/>
      <c r="Q28" s="12"/>
    </row>
    <row r="29" spans="1:17" ht="60" customHeight="1" x14ac:dyDescent="0.25">
      <c r="A29" s="9">
        <f>IF(F29="","",ROW()-19-COUNTBLANK($F$20:F29))</f>
        <v>8</v>
      </c>
      <c r="B29" s="4" t="s">
        <v>85</v>
      </c>
      <c r="C29" s="4" t="s">
        <v>85</v>
      </c>
      <c r="D29" s="4"/>
      <c r="E29" s="7" t="s">
        <v>1588</v>
      </c>
      <c r="F29" s="7" t="s">
        <v>1589</v>
      </c>
      <c r="G29" s="3" t="s">
        <v>73</v>
      </c>
      <c r="H29" s="3"/>
      <c r="I29" s="3"/>
      <c r="J29" s="3"/>
      <c r="K29" s="3"/>
      <c r="L29" s="3"/>
      <c r="M29" s="3"/>
      <c r="N29" s="3"/>
      <c r="O29" s="3"/>
      <c r="P29" s="3"/>
      <c r="Q29" s="3"/>
    </row>
    <row r="30" spans="1:17" ht="60" customHeight="1" x14ac:dyDescent="0.25">
      <c r="A30" s="9">
        <f>IF(F30="","",ROW()-19-COUNTBLANK($F$20:F30))</f>
        <v>9</v>
      </c>
      <c r="B30" s="4" t="s">
        <v>88</v>
      </c>
      <c r="C30" s="4" t="s">
        <v>88</v>
      </c>
      <c r="D30" s="4"/>
      <c r="E30" s="7" t="s">
        <v>1590</v>
      </c>
      <c r="F30" s="7" t="s">
        <v>90</v>
      </c>
      <c r="G30" s="3" t="s">
        <v>73</v>
      </c>
      <c r="H30" s="3"/>
      <c r="I30" s="3"/>
      <c r="J30" s="3"/>
      <c r="K30" s="3"/>
      <c r="L30" s="3"/>
      <c r="M30" s="3"/>
      <c r="N30" s="3"/>
      <c r="O30" s="3"/>
      <c r="P30" s="3"/>
      <c r="Q30" s="3"/>
    </row>
    <row r="31" spans="1:17" ht="20.100000000000001" customHeight="1" x14ac:dyDescent="0.25">
      <c r="A31" s="9" t="str">
        <f>IF(F31="","",ROW()-19-COUNTBLANK($F$20:F31))</f>
        <v/>
      </c>
      <c r="B31" s="12" t="s">
        <v>1591</v>
      </c>
      <c r="C31" s="12"/>
      <c r="D31" s="12"/>
      <c r="E31" s="12"/>
      <c r="F31" s="12"/>
      <c r="G31" s="12"/>
      <c r="H31" s="12"/>
      <c r="I31" s="12"/>
      <c r="J31" s="12"/>
      <c r="K31" s="12"/>
      <c r="L31" s="12"/>
      <c r="M31" s="12"/>
      <c r="N31" s="12"/>
      <c r="O31" s="12"/>
      <c r="P31" s="12"/>
      <c r="Q31" s="12"/>
    </row>
    <row r="32" spans="1:17" ht="60" customHeight="1" x14ac:dyDescent="0.25">
      <c r="A32" s="9">
        <f>IF(F32="","",ROW()-19-COUNTBLANK($F$20:F32))</f>
        <v>10</v>
      </c>
      <c r="B32" s="4" t="s">
        <v>1592</v>
      </c>
      <c r="C32" s="4" t="s">
        <v>1593</v>
      </c>
      <c r="D32" s="4"/>
      <c r="E32" s="7" t="s">
        <v>1594</v>
      </c>
      <c r="F32" s="7" t="s">
        <v>1595</v>
      </c>
      <c r="G32" s="3" t="s">
        <v>50</v>
      </c>
      <c r="H32" s="3"/>
      <c r="I32" s="3"/>
      <c r="J32" s="3"/>
      <c r="K32" s="3"/>
      <c r="L32" s="3"/>
      <c r="M32" s="3"/>
      <c r="N32" s="3"/>
      <c r="O32" s="3"/>
      <c r="P32" s="3"/>
      <c r="Q32" s="3"/>
    </row>
    <row r="33" spans="1:17" ht="60" customHeight="1" x14ac:dyDescent="0.25">
      <c r="A33" s="9">
        <f>IF(F33="","",ROW()-19-COUNTBLANK($F$20:F33))</f>
        <v>11</v>
      </c>
      <c r="B33" s="4" t="s">
        <v>1596</v>
      </c>
      <c r="C33" s="4" t="s">
        <v>1597</v>
      </c>
      <c r="D33" s="4"/>
      <c r="E33" s="7" t="s">
        <v>1598</v>
      </c>
      <c r="F33" s="7" t="s">
        <v>1599</v>
      </c>
      <c r="G33" s="3" t="s">
        <v>50</v>
      </c>
      <c r="H33" s="3"/>
      <c r="I33" s="3"/>
      <c r="J33" s="3"/>
      <c r="K33" s="3"/>
      <c r="L33" s="3"/>
      <c r="M33" s="3"/>
      <c r="N33" s="3"/>
      <c r="O33" s="3"/>
      <c r="P33" s="3"/>
      <c r="Q33" s="3"/>
    </row>
    <row r="34" spans="1:17" ht="60" customHeight="1" x14ac:dyDescent="0.25">
      <c r="A34" s="9">
        <f>IF(F34="","",ROW()-19-COUNTBLANK($F$20:F34))</f>
        <v>12</v>
      </c>
      <c r="B34" s="4" t="s">
        <v>1600</v>
      </c>
      <c r="C34" s="4" t="s">
        <v>1601</v>
      </c>
      <c r="D34" s="4"/>
      <c r="E34" s="7" t="s">
        <v>1602</v>
      </c>
      <c r="F34" s="7" t="s">
        <v>1603</v>
      </c>
      <c r="G34" s="3" t="s">
        <v>55</v>
      </c>
      <c r="H34" s="3"/>
      <c r="I34" s="3"/>
      <c r="J34" s="3"/>
      <c r="K34" s="3"/>
      <c r="L34" s="3"/>
      <c r="M34" s="3"/>
      <c r="N34" s="3"/>
      <c r="O34" s="3"/>
      <c r="P34" s="3"/>
      <c r="Q34" s="3"/>
    </row>
    <row r="35" spans="1:17" ht="60" customHeight="1" x14ac:dyDescent="0.25">
      <c r="A35" s="9">
        <f>IF(F35="","",ROW()-19-COUNTBLANK($F$20:F35))</f>
        <v>13</v>
      </c>
      <c r="B35" s="4" t="s">
        <v>1604</v>
      </c>
      <c r="C35" s="4" t="s">
        <v>1605</v>
      </c>
      <c r="D35" s="4"/>
      <c r="E35" s="7" t="s">
        <v>1606</v>
      </c>
      <c r="F35" s="7" t="s">
        <v>1607</v>
      </c>
      <c r="G35" s="3" t="s">
        <v>73</v>
      </c>
      <c r="H35" s="3"/>
      <c r="I35" s="3"/>
      <c r="J35" s="3"/>
      <c r="K35" s="3"/>
      <c r="L35" s="3"/>
      <c r="M35" s="3"/>
      <c r="N35" s="3"/>
      <c r="O35" s="3"/>
      <c r="P35" s="3"/>
      <c r="Q35" s="3"/>
    </row>
    <row r="36" spans="1:17" ht="20.100000000000001" customHeight="1" x14ac:dyDescent="0.25">
      <c r="A36" s="9" t="str">
        <f>IF(F36="","",ROW()-19-COUNTBLANK($F$20:F36))</f>
        <v/>
      </c>
      <c r="B36" s="12" t="s">
        <v>1608</v>
      </c>
      <c r="C36" s="12"/>
      <c r="D36" s="12"/>
      <c r="E36" s="12"/>
      <c r="F36" s="12"/>
      <c r="G36" s="12"/>
      <c r="H36" s="12"/>
      <c r="I36" s="12"/>
      <c r="J36" s="12"/>
      <c r="K36" s="12"/>
      <c r="L36" s="12"/>
      <c r="M36" s="12"/>
      <c r="N36" s="12"/>
      <c r="O36" s="12"/>
      <c r="P36" s="12"/>
      <c r="Q36" s="12"/>
    </row>
    <row r="37" spans="1:17" ht="60" customHeight="1" x14ac:dyDescent="0.25">
      <c r="A37" s="9">
        <f>IF(F37="","",ROW()-19-COUNTBLANK($F$20:F37))</f>
        <v>14</v>
      </c>
      <c r="B37" s="4" t="s">
        <v>1609</v>
      </c>
      <c r="C37" s="4" t="s">
        <v>1610</v>
      </c>
      <c r="D37" s="4"/>
      <c r="E37" s="7" t="s">
        <v>1611</v>
      </c>
      <c r="F37" s="7" t="s">
        <v>1612</v>
      </c>
      <c r="G37" s="3" t="s">
        <v>55</v>
      </c>
      <c r="H37" s="3"/>
      <c r="I37" s="3"/>
      <c r="J37" s="3"/>
      <c r="K37" s="3"/>
      <c r="L37" s="3"/>
      <c r="M37" s="3"/>
      <c r="N37" s="3"/>
      <c r="O37" s="3"/>
      <c r="P37" s="3"/>
      <c r="Q37" s="3"/>
    </row>
    <row r="38" spans="1:17" ht="60" customHeight="1" x14ac:dyDescent="0.25">
      <c r="A38" s="9">
        <f>IF(F38="","",ROW()-19-COUNTBLANK($F$20:F38))</f>
        <v>15</v>
      </c>
      <c r="B38" s="4" t="s">
        <v>1613</v>
      </c>
      <c r="C38" s="4" t="s">
        <v>1614</v>
      </c>
      <c r="D38" s="4"/>
      <c r="E38" s="7" t="s">
        <v>1615</v>
      </c>
      <c r="F38" s="7" t="s">
        <v>1616</v>
      </c>
      <c r="G38" s="3" t="s">
        <v>55</v>
      </c>
      <c r="H38" s="3"/>
      <c r="I38" s="3"/>
      <c r="J38" s="3"/>
      <c r="K38" s="3"/>
      <c r="L38" s="3"/>
      <c r="M38" s="3"/>
      <c r="N38" s="3"/>
      <c r="O38" s="3"/>
      <c r="P38" s="3"/>
      <c r="Q38" s="3"/>
    </row>
    <row r="39" spans="1:17" ht="60" customHeight="1" x14ac:dyDescent="0.25">
      <c r="A39" s="9">
        <f>IF(F39="","",ROW()-19-COUNTBLANK($F$20:F39))</f>
        <v>16</v>
      </c>
      <c r="B39" s="4" t="s">
        <v>1617</v>
      </c>
      <c r="C39" s="4" t="s">
        <v>1618</v>
      </c>
      <c r="D39" s="4"/>
      <c r="E39" s="7" t="s">
        <v>1619</v>
      </c>
      <c r="F39" s="7" t="s">
        <v>1620</v>
      </c>
      <c r="G39" s="3" t="s">
        <v>55</v>
      </c>
      <c r="H39" s="3"/>
      <c r="I39" s="3"/>
      <c r="J39" s="3"/>
      <c r="K39" s="3"/>
      <c r="L39" s="3"/>
      <c r="M39" s="3"/>
      <c r="N39" s="3"/>
      <c r="O39" s="3"/>
      <c r="P39" s="3"/>
      <c r="Q39" s="3"/>
    </row>
    <row r="40" spans="1:17" ht="60" customHeight="1" x14ac:dyDescent="0.25">
      <c r="A40" s="9">
        <f>IF(F40="","",ROW()-19-COUNTBLANK($F$20:F40))</f>
        <v>17</v>
      </c>
      <c r="B40" s="4" t="s">
        <v>1621</v>
      </c>
      <c r="C40" s="4" t="s">
        <v>1622</v>
      </c>
      <c r="D40" s="4"/>
      <c r="E40" s="7" t="s">
        <v>1623</v>
      </c>
      <c r="F40" s="7" t="s">
        <v>1624</v>
      </c>
      <c r="G40" s="3" t="s">
        <v>55</v>
      </c>
      <c r="H40" s="3"/>
      <c r="I40" s="3"/>
      <c r="J40" s="3"/>
      <c r="K40" s="3"/>
      <c r="L40" s="3"/>
      <c r="M40" s="3"/>
      <c r="N40" s="3"/>
      <c r="O40" s="3"/>
      <c r="P40" s="3"/>
      <c r="Q40" s="3"/>
    </row>
    <row r="41" spans="1:17" ht="60" customHeight="1" x14ac:dyDescent="0.25">
      <c r="A41" s="9">
        <f>IF(F41="","",ROW()-19-COUNTBLANK($F$20:F41))</f>
        <v>18</v>
      </c>
      <c r="B41" s="4" t="s">
        <v>1625</v>
      </c>
      <c r="C41" s="4" t="s">
        <v>1626</v>
      </c>
      <c r="D41" s="4"/>
      <c r="E41" s="7" t="s">
        <v>1627</v>
      </c>
      <c r="F41" s="7" t="s">
        <v>1628</v>
      </c>
      <c r="G41" s="3" t="s">
        <v>55</v>
      </c>
      <c r="H41" s="3"/>
      <c r="I41" s="3"/>
      <c r="J41" s="3"/>
      <c r="K41" s="3"/>
      <c r="L41" s="3"/>
      <c r="M41" s="3"/>
      <c r="N41" s="3"/>
      <c r="O41" s="3"/>
      <c r="P41" s="3"/>
      <c r="Q41" s="3"/>
    </row>
    <row r="42" spans="1:17" ht="60" customHeight="1" x14ac:dyDescent="0.25">
      <c r="A42" s="9">
        <f>IF(F42="","",ROW()-19-COUNTBLANK($F$20:F42))</f>
        <v>19</v>
      </c>
      <c r="B42" s="4" t="s">
        <v>1629</v>
      </c>
      <c r="C42" s="4" t="s">
        <v>1630</v>
      </c>
      <c r="D42" s="4"/>
      <c r="E42" s="7" t="s">
        <v>1631</v>
      </c>
      <c r="F42" s="7" t="s">
        <v>1632</v>
      </c>
      <c r="G42" s="3" t="s">
        <v>55</v>
      </c>
      <c r="H42" s="3"/>
      <c r="I42" s="3"/>
      <c r="J42" s="3"/>
      <c r="K42" s="3"/>
      <c r="L42" s="3"/>
      <c r="M42" s="3"/>
      <c r="N42" s="3"/>
      <c r="O42" s="3"/>
      <c r="P42" s="3"/>
      <c r="Q42" s="3"/>
    </row>
    <row r="43" spans="1:17" ht="60" customHeight="1" x14ac:dyDescent="0.25">
      <c r="A43" s="9">
        <f>IF(F43="","",ROW()-19-COUNTBLANK($F$20:F43))</f>
        <v>20</v>
      </c>
      <c r="B43" s="4" t="s">
        <v>1633</v>
      </c>
      <c r="C43" s="4" t="s">
        <v>1634</v>
      </c>
      <c r="D43" s="4"/>
      <c r="E43" s="7" t="s">
        <v>1635</v>
      </c>
      <c r="F43" s="7" t="s">
        <v>1636</v>
      </c>
      <c r="G43" s="3" t="s">
        <v>55</v>
      </c>
      <c r="H43" s="3"/>
      <c r="I43" s="3"/>
      <c r="J43" s="3"/>
      <c r="K43" s="3"/>
      <c r="L43" s="3"/>
      <c r="M43" s="3"/>
      <c r="N43" s="3"/>
      <c r="O43" s="3"/>
      <c r="P43" s="3"/>
      <c r="Q43" s="3"/>
    </row>
    <row r="44" spans="1:17" ht="60" customHeight="1" x14ac:dyDescent="0.25">
      <c r="A44" s="9">
        <f>IF(F44="","",ROW()-19-COUNTBLANK($F$20:F44))</f>
        <v>21</v>
      </c>
      <c r="B44" s="17" t="s">
        <v>1637</v>
      </c>
      <c r="C44" s="4" t="s">
        <v>1638</v>
      </c>
      <c r="D44" s="4" t="s">
        <v>1639</v>
      </c>
      <c r="E44" s="7" t="s">
        <v>1594</v>
      </c>
      <c r="F44" s="7" t="s">
        <v>1640</v>
      </c>
      <c r="G44" s="3" t="s">
        <v>50</v>
      </c>
      <c r="H44" s="3"/>
      <c r="I44" s="3"/>
      <c r="J44" s="3"/>
      <c r="K44" s="3"/>
      <c r="L44" s="3"/>
      <c r="M44" s="3"/>
      <c r="N44" s="3"/>
      <c r="O44" s="3"/>
      <c r="P44" s="3"/>
      <c r="Q44" s="3"/>
    </row>
    <row r="45" spans="1:17" ht="60" customHeight="1" x14ac:dyDescent="0.25">
      <c r="A45" s="9">
        <f>IF(F45="","",ROW()-19-COUNTBLANK($F$20:F45))</f>
        <v>22</v>
      </c>
      <c r="B45" s="18"/>
      <c r="C45" s="4" t="s">
        <v>1641</v>
      </c>
      <c r="D45" s="4" t="s">
        <v>1642</v>
      </c>
      <c r="E45" s="7" t="s">
        <v>1594</v>
      </c>
      <c r="F45" s="7" t="s">
        <v>1643</v>
      </c>
      <c r="G45" s="3" t="s">
        <v>50</v>
      </c>
      <c r="H45" s="3"/>
      <c r="I45" s="3"/>
      <c r="J45" s="3"/>
      <c r="K45" s="3"/>
      <c r="L45" s="3"/>
      <c r="M45" s="3"/>
      <c r="N45" s="3"/>
      <c r="O45" s="3"/>
      <c r="P45" s="3"/>
      <c r="Q45" s="3"/>
    </row>
    <row r="46" spans="1:17" ht="60" customHeight="1" x14ac:dyDescent="0.25">
      <c r="A46" s="9">
        <f>IF(F46="","",ROW()-19-COUNTBLANK($F$20:F46))</f>
        <v>23</v>
      </c>
      <c r="B46" s="18"/>
      <c r="C46" s="4" t="s">
        <v>1644</v>
      </c>
      <c r="D46" s="4"/>
      <c r="E46" s="7" t="s">
        <v>1594</v>
      </c>
      <c r="F46" s="7" t="s">
        <v>1645</v>
      </c>
      <c r="G46" s="3" t="s">
        <v>50</v>
      </c>
      <c r="H46" s="3"/>
      <c r="I46" s="3"/>
      <c r="J46" s="3"/>
      <c r="K46" s="3"/>
      <c r="L46" s="3"/>
      <c r="M46" s="3"/>
      <c r="N46" s="3"/>
      <c r="O46" s="3"/>
      <c r="P46" s="3"/>
      <c r="Q46" s="3"/>
    </row>
    <row r="47" spans="1:17" ht="60" customHeight="1" x14ac:dyDescent="0.25">
      <c r="A47" s="9">
        <f>IF(F47="","",ROW()-19-COUNTBLANK($F$20:F47))</f>
        <v>24</v>
      </c>
      <c r="B47" s="19"/>
      <c r="C47" s="4" t="s">
        <v>1646</v>
      </c>
      <c r="D47" s="4"/>
      <c r="E47" s="7" t="s">
        <v>1594</v>
      </c>
      <c r="F47" s="7" t="s">
        <v>1647</v>
      </c>
      <c r="G47" s="3" t="s">
        <v>50</v>
      </c>
      <c r="H47" s="3"/>
      <c r="I47" s="3"/>
      <c r="J47" s="3"/>
      <c r="K47" s="3"/>
      <c r="L47" s="3"/>
      <c r="M47" s="3"/>
      <c r="N47" s="3"/>
      <c r="O47" s="3"/>
      <c r="P47" s="3"/>
      <c r="Q47" s="3"/>
    </row>
    <row r="48" spans="1:17" ht="20.100000000000001" customHeight="1" x14ac:dyDescent="0.25">
      <c r="A48" s="9" t="str">
        <f>IF(F48="","",ROW()-19-COUNTBLANK($F$20:F48))</f>
        <v/>
      </c>
      <c r="B48" s="12" t="s">
        <v>1238</v>
      </c>
      <c r="C48" s="12"/>
      <c r="D48" s="12"/>
      <c r="E48" s="12"/>
      <c r="F48" s="12"/>
      <c r="G48" s="12"/>
      <c r="H48" s="12"/>
      <c r="I48" s="12"/>
      <c r="J48" s="12"/>
      <c r="K48" s="12"/>
      <c r="L48" s="12"/>
      <c r="M48" s="12"/>
      <c r="N48" s="12"/>
      <c r="O48" s="12"/>
      <c r="P48" s="12"/>
      <c r="Q48" s="12"/>
    </row>
    <row r="49" spans="1:17" ht="60" customHeight="1" x14ac:dyDescent="0.25">
      <c r="A49" s="9">
        <f>IF(F49="","",ROW()-19-COUNTBLANK($F$20:F49))</f>
        <v>25</v>
      </c>
      <c r="B49" s="4" t="s">
        <v>1239</v>
      </c>
      <c r="C49" s="4" t="s">
        <v>1648</v>
      </c>
      <c r="D49" s="4" t="s">
        <v>1241</v>
      </c>
      <c r="E49" s="7" t="s">
        <v>1594</v>
      </c>
      <c r="F49" s="7" t="s">
        <v>1649</v>
      </c>
      <c r="G49" s="3" t="s">
        <v>55</v>
      </c>
      <c r="H49" s="3"/>
      <c r="I49" s="3"/>
      <c r="J49" s="3"/>
      <c r="K49" s="3"/>
      <c r="L49" s="3"/>
      <c r="M49" s="3"/>
      <c r="N49" s="3"/>
      <c r="O49" s="3"/>
      <c r="P49" s="3"/>
      <c r="Q49" s="3"/>
    </row>
    <row r="50" spans="1:17" ht="60" customHeight="1" x14ac:dyDescent="0.25">
      <c r="A50" s="9">
        <f>IF(F50="","",ROW()-19-COUNTBLANK($F$20:F50))</f>
        <v>26</v>
      </c>
      <c r="B50" s="4" t="s">
        <v>1243</v>
      </c>
      <c r="C50" s="4" t="s">
        <v>1244</v>
      </c>
      <c r="D50" s="4"/>
      <c r="E50" s="7" t="s">
        <v>1650</v>
      </c>
      <c r="F50" s="7" t="s">
        <v>1651</v>
      </c>
      <c r="G50" s="3" t="s">
        <v>73</v>
      </c>
      <c r="H50" s="3"/>
      <c r="I50" s="3"/>
      <c r="J50" s="3"/>
      <c r="K50" s="3"/>
      <c r="L50" s="3"/>
      <c r="M50" s="3"/>
      <c r="N50" s="3"/>
      <c r="O50" s="3"/>
      <c r="P50" s="3"/>
      <c r="Q50" s="3"/>
    </row>
    <row r="51" spans="1:17" ht="20.100000000000001" customHeight="1" x14ac:dyDescent="0.25">
      <c r="A51" s="9" t="str">
        <f>IF(F51="","",ROW()-19-COUNTBLANK($F$20:F51))</f>
        <v/>
      </c>
      <c r="B51" s="12" t="s">
        <v>1652</v>
      </c>
      <c r="C51" s="12"/>
      <c r="D51" s="12"/>
      <c r="E51" s="12"/>
      <c r="F51" s="12"/>
      <c r="G51" s="12"/>
      <c r="H51" s="12"/>
      <c r="I51" s="12"/>
      <c r="J51" s="12"/>
      <c r="K51" s="12"/>
      <c r="L51" s="12"/>
      <c r="M51" s="12"/>
      <c r="N51" s="12"/>
      <c r="O51" s="12"/>
      <c r="P51" s="12"/>
      <c r="Q51" s="12"/>
    </row>
    <row r="52" spans="1:17" ht="60" customHeight="1" x14ac:dyDescent="0.25">
      <c r="A52" s="9">
        <f>IF(F52="","",ROW()-19-COUNTBLANK($F$20:F52))</f>
        <v>27</v>
      </c>
      <c r="B52" s="4" t="s">
        <v>1653</v>
      </c>
      <c r="C52" s="4" t="s">
        <v>1654</v>
      </c>
      <c r="D52" s="4" t="s">
        <v>1655</v>
      </c>
      <c r="E52" s="7" t="s">
        <v>1656</v>
      </c>
      <c r="F52" s="7" t="s">
        <v>1657</v>
      </c>
      <c r="G52" s="3" t="s">
        <v>50</v>
      </c>
      <c r="H52" s="3"/>
      <c r="I52" s="3"/>
      <c r="J52" s="3"/>
      <c r="K52" s="3"/>
      <c r="L52" s="3"/>
      <c r="M52" s="3"/>
      <c r="N52" s="3"/>
      <c r="O52" s="3"/>
      <c r="P52" s="3"/>
      <c r="Q52" s="3"/>
    </row>
    <row r="53" spans="1:17" ht="60" customHeight="1" x14ac:dyDescent="0.25">
      <c r="A53" s="9">
        <f>IF(F53="","",ROW()-19-COUNTBLANK($F$20:F53))</f>
        <v>28</v>
      </c>
      <c r="B53" s="17" t="s">
        <v>1658</v>
      </c>
      <c r="C53" s="4" t="s">
        <v>1659</v>
      </c>
      <c r="D53" s="4" t="s">
        <v>1660</v>
      </c>
      <c r="E53" s="7" t="s">
        <v>1661</v>
      </c>
      <c r="F53" s="7" t="s">
        <v>1662</v>
      </c>
      <c r="G53" s="3" t="s">
        <v>55</v>
      </c>
      <c r="H53" s="3"/>
      <c r="I53" s="3"/>
      <c r="J53" s="3"/>
      <c r="K53" s="3"/>
      <c r="L53" s="3"/>
      <c r="M53" s="3"/>
      <c r="N53" s="3"/>
      <c r="O53" s="3"/>
      <c r="P53" s="3"/>
      <c r="Q53" s="3"/>
    </row>
    <row r="54" spans="1:17" ht="60" customHeight="1" x14ac:dyDescent="0.25">
      <c r="A54" s="9">
        <f>IF(F54="","",ROW()-19-COUNTBLANK($F$20:F54))</f>
        <v>29</v>
      </c>
      <c r="B54" s="18"/>
      <c r="C54" s="4" t="s">
        <v>1663</v>
      </c>
      <c r="D54" s="4" t="s">
        <v>1664</v>
      </c>
      <c r="E54" s="7" t="s">
        <v>1665</v>
      </c>
      <c r="F54" s="7" t="s">
        <v>1666</v>
      </c>
      <c r="G54" s="3" t="s">
        <v>55</v>
      </c>
      <c r="H54" s="3"/>
      <c r="I54" s="3"/>
      <c r="J54" s="3"/>
      <c r="K54" s="3"/>
      <c r="L54" s="3"/>
      <c r="M54" s="3"/>
      <c r="N54" s="3"/>
      <c r="O54" s="3"/>
      <c r="P54" s="3"/>
      <c r="Q54" s="3"/>
    </row>
    <row r="55" spans="1:17" ht="60" customHeight="1" x14ac:dyDescent="0.25">
      <c r="A55" s="9">
        <f>IF(F55="","",ROW()-19-COUNTBLANK($F$20:F55))</f>
        <v>30</v>
      </c>
      <c r="B55" s="18"/>
      <c r="C55" s="4" t="s">
        <v>1667</v>
      </c>
      <c r="D55" s="4" t="s">
        <v>1668</v>
      </c>
      <c r="E55" s="7" t="s">
        <v>1669</v>
      </c>
      <c r="F55" s="7" t="s">
        <v>1670</v>
      </c>
      <c r="G55" s="3" t="s">
        <v>55</v>
      </c>
      <c r="H55" s="3"/>
      <c r="I55" s="3"/>
      <c r="J55" s="3"/>
      <c r="K55" s="3"/>
      <c r="L55" s="3"/>
      <c r="M55" s="3"/>
      <c r="N55" s="3"/>
      <c r="O55" s="3"/>
      <c r="P55" s="3"/>
      <c r="Q55" s="3"/>
    </row>
    <row r="56" spans="1:17" ht="60" customHeight="1" x14ac:dyDescent="0.25">
      <c r="A56" s="9">
        <f>IF(F56="","",ROW()-19-COUNTBLANK($F$20:F56))</f>
        <v>31</v>
      </c>
      <c r="B56" s="19"/>
      <c r="C56" s="4" t="s">
        <v>1671</v>
      </c>
      <c r="D56" s="4" t="s">
        <v>1672</v>
      </c>
      <c r="E56" s="7" t="s">
        <v>1673</v>
      </c>
      <c r="F56" s="7" t="s">
        <v>1674</v>
      </c>
      <c r="G56" s="3" t="s">
        <v>55</v>
      </c>
      <c r="H56" s="3"/>
      <c r="I56" s="3"/>
      <c r="J56" s="3"/>
      <c r="K56" s="3"/>
      <c r="L56" s="3"/>
      <c r="M56" s="3"/>
      <c r="N56" s="3"/>
      <c r="O56" s="3"/>
      <c r="P56" s="3"/>
      <c r="Q56" s="3"/>
    </row>
    <row r="57" spans="1:17" ht="20.100000000000001" customHeight="1" x14ac:dyDescent="0.25">
      <c r="A57" s="9" t="str">
        <f>IF(F57="","",ROW()-19-COUNTBLANK($F$20:F57))</f>
        <v/>
      </c>
      <c r="B57" s="12" t="s">
        <v>1675</v>
      </c>
      <c r="C57" s="12"/>
      <c r="D57" s="12"/>
      <c r="E57" s="12"/>
      <c r="F57" s="12"/>
      <c r="G57" s="12"/>
      <c r="H57" s="12"/>
      <c r="I57" s="12"/>
      <c r="J57" s="12"/>
      <c r="K57" s="12"/>
      <c r="L57" s="12"/>
      <c r="M57" s="12"/>
      <c r="N57" s="12"/>
      <c r="O57" s="12"/>
      <c r="P57" s="12"/>
      <c r="Q57" s="12"/>
    </row>
    <row r="58" spans="1:17" ht="60" customHeight="1" x14ac:dyDescent="0.25">
      <c r="A58" s="9">
        <f>IF(F58="","",ROW()-19-COUNTBLANK($F$20:F58))</f>
        <v>32</v>
      </c>
      <c r="B58" s="4" t="s">
        <v>1676</v>
      </c>
      <c r="C58" s="4" t="s">
        <v>1677</v>
      </c>
      <c r="D58" s="4" t="s">
        <v>1678</v>
      </c>
      <c r="E58" s="7" t="s">
        <v>1679</v>
      </c>
      <c r="F58" s="7" t="s">
        <v>1680</v>
      </c>
      <c r="G58" s="3" t="s">
        <v>50</v>
      </c>
      <c r="H58" s="3"/>
      <c r="I58" s="3"/>
      <c r="J58" s="3"/>
      <c r="K58" s="3"/>
      <c r="L58" s="3"/>
      <c r="M58" s="3"/>
      <c r="N58" s="3"/>
      <c r="O58" s="3"/>
      <c r="P58" s="3"/>
      <c r="Q58" s="3"/>
    </row>
    <row r="59" spans="1:17" ht="60" customHeight="1" x14ac:dyDescent="0.25">
      <c r="A59" s="9">
        <f>IF(F59="","",ROW()-19-COUNTBLANK($F$20:F59))</f>
        <v>33</v>
      </c>
      <c r="B59" s="17" t="s">
        <v>1681</v>
      </c>
      <c r="C59" s="4" t="s">
        <v>1682</v>
      </c>
      <c r="D59" s="4" t="s">
        <v>1683</v>
      </c>
      <c r="E59" s="7" t="s">
        <v>1684</v>
      </c>
      <c r="F59" s="7" t="s">
        <v>1685</v>
      </c>
      <c r="G59" s="3" t="s">
        <v>55</v>
      </c>
      <c r="H59" s="3"/>
      <c r="I59" s="3"/>
      <c r="J59" s="3"/>
      <c r="K59" s="3"/>
      <c r="L59" s="3"/>
      <c r="M59" s="3"/>
      <c r="N59" s="3"/>
      <c r="O59" s="3"/>
      <c r="P59" s="3"/>
      <c r="Q59" s="3"/>
    </row>
    <row r="60" spans="1:17" ht="60" customHeight="1" x14ac:dyDescent="0.25">
      <c r="A60" s="9">
        <f>IF(F60="","",ROW()-19-COUNTBLANK($F$20:F60))</f>
        <v>34</v>
      </c>
      <c r="B60" s="19"/>
      <c r="C60" s="4" t="s">
        <v>1686</v>
      </c>
      <c r="D60" s="4" t="s">
        <v>1687</v>
      </c>
      <c r="E60" s="7" t="s">
        <v>1688</v>
      </c>
      <c r="F60" s="7" t="s">
        <v>1689</v>
      </c>
      <c r="G60" s="3" t="s">
        <v>55</v>
      </c>
      <c r="H60" s="3"/>
      <c r="I60" s="3"/>
      <c r="J60" s="3"/>
      <c r="K60" s="3"/>
      <c r="L60" s="3"/>
      <c r="M60" s="3"/>
      <c r="N60" s="3"/>
      <c r="O60" s="3"/>
      <c r="P60" s="3"/>
      <c r="Q60" s="3"/>
    </row>
    <row r="61" spans="1:17" ht="60" customHeight="1" x14ac:dyDescent="0.25">
      <c r="A61" s="9">
        <f>IF(F61="","",ROW()-19-COUNTBLANK($F$20:F61))</f>
        <v>35</v>
      </c>
      <c r="B61" s="4" t="s">
        <v>1690</v>
      </c>
      <c r="C61" s="4" t="s">
        <v>1691</v>
      </c>
      <c r="D61" s="4" t="s">
        <v>1692</v>
      </c>
      <c r="E61" s="7" t="s">
        <v>1693</v>
      </c>
      <c r="F61" s="7" t="s">
        <v>1694</v>
      </c>
      <c r="G61" s="3" t="s">
        <v>50</v>
      </c>
      <c r="H61" s="3"/>
      <c r="I61" s="3"/>
      <c r="J61" s="3"/>
      <c r="K61" s="3"/>
      <c r="L61" s="3"/>
      <c r="M61" s="3"/>
      <c r="N61" s="3"/>
      <c r="O61" s="3"/>
      <c r="P61" s="3"/>
      <c r="Q61" s="3"/>
    </row>
    <row r="62" spans="1:17" ht="60" customHeight="1" x14ac:dyDescent="0.25">
      <c r="A62" s="9">
        <f>IF(F62="","",ROW()-19-COUNTBLANK($F$20:F62))</f>
        <v>36</v>
      </c>
      <c r="B62" s="17" t="s">
        <v>1695</v>
      </c>
      <c r="C62" s="4" t="s">
        <v>1696</v>
      </c>
      <c r="D62" s="4" t="s">
        <v>1697</v>
      </c>
      <c r="E62" s="7" t="s">
        <v>1698</v>
      </c>
      <c r="F62" s="7" t="s">
        <v>1699</v>
      </c>
      <c r="G62" s="3" t="s">
        <v>55</v>
      </c>
      <c r="H62" s="3"/>
      <c r="I62" s="3"/>
      <c r="J62" s="3"/>
      <c r="K62" s="3"/>
      <c r="L62" s="3"/>
      <c r="M62" s="3"/>
      <c r="N62" s="3"/>
      <c r="O62" s="3"/>
      <c r="P62" s="3"/>
      <c r="Q62" s="3"/>
    </row>
    <row r="63" spans="1:17" ht="60" customHeight="1" x14ac:dyDescent="0.25">
      <c r="A63" s="9">
        <f>IF(F63="","",ROW()-19-COUNTBLANK($F$20:F63))</f>
        <v>37</v>
      </c>
      <c r="B63" s="18"/>
      <c r="C63" s="4" t="s">
        <v>1700</v>
      </c>
      <c r="D63" s="4" t="s">
        <v>1701</v>
      </c>
      <c r="E63" s="7" t="s">
        <v>1702</v>
      </c>
      <c r="F63" s="7" t="s">
        <v>1703</v>
      </c>
      <c r="G63" s="3" t="s">
        <v>55</v>
      </c>
      <c r="H63" s="3"/>
      <c r="I63" s="3"/>
      <c r="J63" s="3"/>
      <c r="K63" s="3"/>
      <c r="L63" s="3"/>
      <c r="M63" s="3"/>
      <c r="N63" s="3"/>
      <c r="O63" s="3"/>
      <c r="P63" s="3"/>
      <c r="Q63" s="3"/>
    </row>
    <row r="64" spans="1:17" ht="60" customHeight="1" x14ac:dyDescent="0.25">
      <c r="A64" s="9">
        <f>IF(F64="","",ROW()-19-COUNTBLANK($F$20:F64))</f>
        <v>38</v>
      </c>
      <c r="B64" s="18"/>
      <c r="C64" s="4" t="s">
        <v>1704</v>
      </c>
      <c r="D64" s="4" t="s">
        <v>1705</v>
      </c>
      <c r="E64" s="7" t="s">
        <v>1706</v>
      </c>
      <c r="F64" s="7" t="s">
        <v>1707</v>
      </c>
      <c r="G64" s="3" t="s">
        <v>55</v>
      </c>
      <c r="H64" s="3"/>
      <c r="I64" s="3"/>
      <c r="J64" s="3"/>
      <c r="K64" s="3"/>
      <c r="L64" s="3"/>
      <c r="M64" s="3"/>
      <c r="N64" s="3"/>
      <c r="O64" s="3"/>
      <c r="P64" s="3"/>
      <c r="Q64" s="3"/>
    </row>
    <row r="65" spans="1:17" ht="60" customHeight="1" x14ac:dyDescent="0.25">
      <c r="A65" s="9">
        <f>IF(F65="","",ROW()-19-COUNTBLANK($F$20:F65))</f>
        <v>39</v>
      </c>
      <c r="B65" s="18"/>
      <c r="C65" s="4" t="s">
        <v>1708</v>
      </c>
      <c r="D65" s="4" t="s">
        <v>1709</v>
      </c>
      <c r="E65" s="7" t="s">
        <v>1710</v>
      </c>
      <c r="F65" s="7" t="s">
        <v>1711</v>
      </c>
      <c r="G65" s="3" t="s">
        <v>55</v>
      </c>
      <c r="H65" s="3"/>
      <c r="I65" s="3"/>
      <c r="J65" s="3"/>
      <c r="K65" s="3"/>
      <c r="L65" s="3"/>
      <c r="M65" s="3"/>
      <c r="N65" s="3"/>
      <c r="O65" s="3"/>
      <c r="P65" s="3"/>
      <c r="Q65" s="3"/>
    </row>
    <row r="66" spans="1:17" ht="60" customHeight="1" x14ac:dyDescent="0.25">
      <c r="A66" s="9">
        <f>IF(F66="","",ROW()-19-COUNTBLANK($F$20:F66))</f>
        <v>40</v>
      </c>
      <c r="B66" s="18"/>
      <c r="C66" s="4" t="s">
        <v>1712</v>
      </c>
      <c r="D66" s="4" t="s">
        <v>1713</v>
      </c>
      <c r="E66" s="7" t="s">
        <v>1714</v>
      </c>
      <c r="F66" s="7" t="s">
        <v>1715</v>
      </c>
      <c r="G66" s="3" t="s">
        <v>55</v>
      </c>
      <c r="H66" s="3"/>
      <c r="I66" s="3"/>
      <c r="J66" s="3"/>
      <c r="K66" s="3"/>
      <c r="L66" s="3"/>
      <c r="M66" s="3"/>
      <c r="N66" s="3"/>
      <c r="O66" s="3"/>
      <c r="P66" s="3"/>
      <c r="Q66" s="3"/>
    </row>
    <row r="67" spans="1:17" ht="60" customHeight="1" x14ac:dyDescent="0.25">
      <c r="A67" s="9">
        <f>IF(F67="","",ROW()-19-COUNTBLANK($F$20:F67))</f>
        <v>41</v>
      </c>
      <c r="B67" s="18"/>
      <c r="C67" s="4" t="s">
        <v>1716</v>
      </c>
      <c r="D67" s="4" t="s">
        <v>1717</v>
      </c>
      <c r="E67" s="7" t="s">
        <v>1718</v>
      </c>
      <c r="F67" s="7" t="s">
        <v>1719</v>
      </c>
      <c r="G67" s="3" t="s">
        <v>55</v>
      </c>
      <c r="H67" s="3"/>
      <c r="I67" s="3"/>
      <c r="J67" s="3"/>
      <c r="K67" s="3"/>
      <c r="L67" s="3"/>
      <c r="M67" s="3"/>
      <c r="N67" s="3"/>
      <c r="O67" s="3"/>
      <c r="P67" s="3"/>
      <c r="Q67" s="3"/>
    </row>
    <row r="68" spans="1:17" ht="60" customHeight="1" x14ac:dyDescent="0.25">
      <c r="A68" s="9">
        <f>IF(F68="","",ROW()-19-COUNTBLANK($F$20:F68))</f>
        <v>42</v>
      </c>
      <c r="B68" s="18"/>
      <c r="C68" s="4" t="s">
        <v>1720</v>
      </c>
      <c r="D68" s="4" t="s">
        <v>1721</v>
      </c>
      <c r="E68" s="7" t="s">
        <v>1722</v>
      </c>
      <c r="F68" s="7" t="s">
        <v>1723</v>
      </c>
      <c r="G68" s="3" t="s">
        <v>55</v>
      </c>
      <c r="H68" s="3"/>
      <c r="I68" s="3"/>
      <c r="J68" s="3"/>
      <c r="K68" s="3"/>
      <c r="L68" s="3"/>
      <c r="M68" s="3"/>
      <c r="N68" s="3"/>
      <c r="O68" s="3"/>
      <c r="P68" s="3"/>
      <c r="Q68" s="3"/>
    </row>
    <row r="69" spans="1:17" ht="60" customHeight="1" x14ac:dyDescent="0.25">
      <c r="A69" s="9">
        <f>IF(F69="","",ROW()-19-COUNTBLANK($F$20:F69))</f>
        <v>43</v>
      </c>
      <c r="B69" s="18"/>
      <c r="C69" s="4" t="s">
        <v>1724</v>
      </c>
      <c r="D69" s="4" t="s">
        <v>1725</v>
      </c>
      <c r="E69" s="7" t="s">
        <v>1726</v>
      </c>
      <c r="F69" s="7" t="s">
        <v>1727</v>
      </c>
      <c r="G69" s="3" t="s">
        <v>55</v>
      </c>
      <c r="H69" s="3"/>
      <c r="I69" s="3"/>
      <c r="J69" s="3"/>
      <c r="K69" s="3"/>
      <c r="L69" s="3"/>
      <c r="M69" s="3"/>
      <c r="N69" s="3"/>
      <c r="O69" s="3"/>
      <c r="P69" s="3"/>
      <c r="Q69" s="3"/>
    </row>
    <row r="70" spans="1:17" ht="60" customHeight="1" x14ac:dyDescent="0.25">
      <c r="A70" s="9">
        <f>IF(F70="","",ROW()-19-COUNTBLANK($F$20:F70))</f>
        <v>44</v>
      </c>
      <c r="B70" s="18"/>
      <c r="C70" s="4" t="s">
        <v>1728</v>
      </c>
      <c r="D70" s="4" t="s">
        <v>1729</v>
      </c>
      <c r="E70" s="7" t="s">
        <v>1730</v>
      </c>
      <c r="F70" s="7" t="s">
        <v>1731</v>
      </c>
      <c r="G70" s="3" t="s">
        <v>55</v>
      </c>
      <c r="H70" s="3"/>
      <c r="I70" s="3"/>
      <c r="J70" s="3"/>
      <c r="K70" s="3"/>
      <c r="L70" s="3"/>
      <c r="M70" s="3"/>
      <c r="N70" s="3"/>
      <c r="O70" s="3"/>
      <c r="P70" s="3"/>
      <c r="Q70" s="3"/>
    </row>
    <row r="71" spans="1:17" ht="60" customHeight="1" x14ac:dyDescent="0.25">
      <c r="A71" s="9">
        <f>IF(F71="","",ROW()-19-COUNTBLANK($F$20:F71))</f>
        <v>45</v>
      </c>
      <c r="B71" s="19"/>
      <c r="C71" s="4" t="s">
        <v>1732</v>
      </c>
      <c r="D71" s="4" t="s">
        <v>1733</v>
      </c>
      <c r="E71" s="7" t="s">
        <v>1734</v>
      </c>
      <c r="F71" s="7" t="s">
        <v>1735</v>
      </c>
      <c r="G71" s="3" t="s">
        <v>55</v>
      </c>
      <c r="H71" s="3"/>
      <c r="I71" s="3"/>
      <c r="J71" s="3"/>
      <c r="K71" s="3"/>
      <c r="L71" s="3"/>
      <c r="M71" s="3"/>
      <c r="N71" s="3"/>
      <c r="O71" s="3"/>
      <c r="P71" s="3"/>
      <c r="Q71" s="3"/>
    </row>
    <row r="72" spans="1:17" ht="60" customHeight="1" x14ac:dyDescent="0.25">
      <c r="A72" s="9">
        <f>IF(F72="","",ROW()-19-COUNTBLANK($F$20:F72))</f>
        <v>46</v>
      </c>
      <c r="B72" s="4" t="s">
        <v>1736</v>
      </c>
      <c r="C72" s="4" t="s">
        <v>1737</v>
      </c>
      <c r="D72" s="4" t="s">
        <v>1738</v>
      </c>
      <c r="E72" s="7" t="s">
        <v>1739</v>
      </c>
      <c r="F72" s="7" t="s">
        <v>1740</v>
      </c>
      <c r="G72" s="3" t="s">
        <v>50</v>
      </c>
      <c r="H72" s="3"/>
      <c r="I72" s="3"/>
      <c r="J72" s="3"/>
      <c r="K72" s="3"/>
      <c r="L72" s="3"/>
      <c r="M72" s="3"/>
      <c r="N72" s="3"/>
      <c r="O72" s="3"/>
      <c r="P72" s="3"/>
      <c r="Q72" s="3"/>
    </row>
    <row r="73" spans="1:17" ht="60" customHeight="1" x14ac:dyDescent="0.25">
      <c r="A73" s="9">
        <f>IF(F73="","",ROW()-19-COUNTBLANK($F$20:F73))</f>
        <v>47</v>
      </c>
      <c r="B73" s="17" t="s">
        <v>1741</v>
      </c>
      <c r="C73" s="4" t="s">
        <v>1742</v>
      </c>
      <c r="D73" s="4" t="s">
        <v>1743</v>
      </c>
      <c r="E73" s="7" t="s">
        <v>1744</v>
      </c>
      <c r="F73" s="7" t="s">
        <v>1745</v>
      </c>
      <c r="G73" s="3" t="s">
        <v>55</v>
      </c>
      <c r="H73" s="3"/>
      <c r="I73" s="3"/>
      <c r="J73" s="3"/>
      <c r="K73" s="3"/>
      <c r="L73" s="3"/>
      <c r="M73" s="3"/>
      <c r="N73" s="3"/>
      <c r="O73" s="3"/>
      <c r="P73" s="3"/>
      <c r="Q73" s="3"/>
    </row>
    <row r="74" spans="1:17" ht="60" customHeight="1" x14ac:dyDescent="0.25">
      <c r="A74" s="9">
        <f>IF(F74="","",ROW()-19-COUNTBLANK($F$20:F74))</f>
        <v>48</v>
      </c>
      <c r="B74" s="18"/>
      <c r="C74" s="4" t="s">
        <v>1746</v>
      </c>
      <c r="D74" s="4" t="s">
        <v>1747</v>
      </c>
      <c r="E74" s="7" t="s">
        <v>1748</v>
      </c>
      <c r="F74" s="7" t="s">
        <v>1749</v>
      </c>
      <c r="G74" s="3" t="s">
        <v>55</v>
      </c>
      <c r="H74" s="3"/>
      <c r="I74" s="3"/>
      <c r="J74" s="3"/>
      <c r="K74" s="3"/>
      <c r="L74" s="3"/>
      <c r="M74" s="3"/>
      <c r="N74" s="3"/>
      <c r="O74" s="3"/>
      <c r="P74" s="3"/>
      <c r="Q74" s="3"/>
    </row>
    <row r="75" spans="1:17" ht="60" customHeight="1" x14ac:dyDescent="0.25">
      <c r="A75" s="9">
        <f>IF(F75="","",ROW()-19-COUNTBLANK($F$20:F75))</f>
        <v>49</v>
      </c>
      <c r="B75" s="18"/>
      <c r="C75" s="4" t="s">
        <v>1750</v>
      </c>
      <c r="D75" s="4" t="s">
        <v>1751</v>
      </c>
      <c r="E75" s="7" t="s">
        <v>1752</v>
      </c>
      <c r="F75" s="7" t="s">
        <v>1753</v>
      </c>
      <c r="G75" s="3" t="s">
        <v>55</v>
      </c>
      <c r="H75" s="3"/>
      <c r="I75" s="3"/>
      <c r="J75" s="3"/>
      <c r="K75" s="3"/>
      <c r="L75" s="3"/>
      <c r="M75" s="3"/>
      <c r="N75" s="3"/>
      <c r="O75" s="3"/>
      <c r="P75" s="3"/>
      <c r="Q75" s="3"/>
    </row>
    <row r="76" spans="1:17" ht="60" customHeight="1" x14ac:dyDescent="0.25">
      <c r="A76" s="9">
        <f>IF(F76="","",ROW()-19-COUNTBLANK($F$20:F76))</f>
        <v>50</v>
      </c>
      <c r="B76" s="18"/>
      <c r="C76" s="4" t="s">
        <v>1754</v>
      </c>
      <c r="D76" s="4" t="s">
        <v>1755</v>
      </c>
      <c r="E76" s="7" t="s">
        <v>1756</v>
      </c>
      <c r="F76" s="7" t="s">
        <v>1757</v>
      </c>
      <c r="G76" s="3" t="s">
        <v>55</v>
      </c>
      <c r="H76" s="3"/>
      <c r="I76" s="3"/>
      <c r="J76" s="3"/>
      <c r="K76" s="3"/>
      <c r="L76" s="3"/>
      <c r="M76" s="3"/>
      <c r="N76" s="3"/>
      <c r="O76" s="3"/>
      <c r="P76" s="3"/>
      <c r="Q76" s="3"/>
    </row>
    <row r="77" spans="1:17" ht="60" customHeight="1" x14ac:dyDescent="0.25">
      <c r="A77" s="9">
        <f>IF(F77="","",ROW()-19-COUNTBLANK($F$20:F77))</f>
        <v>51</v>
      </c>
      <c r="B77" s="18"/>
      <c r="C77" s="4" t="s">
        <v>1758</v>
      </c>
      <c r="D77" s="4" t="s">
        <v>1759</v>
      </c>
      <c r="E77" s="7" t="s">
        <v>1760</v>
      </c>
      <c r="F77" s="7" t="s">
        <v>1761</v>
      </c>
      <c r="G77" s="3" t="s">
        <v>55</v>
      </c>
      <c r="H77" s="3"/>
      <c r="I77" s="3"/>
      <c r="J77" s="3"/>
      <c r="K77" s="3"/>
      <c r="L77" s="3"/>
      <c r="M77" s="3"/>
      <c r="N77" s="3"/>
      <c r="O77" s="3"/>
      <c r="P77" s="3"/>
      <c r="Q77" s="3"/>
    </row>
    <row r="78" spans="1:17" ht="60" customHeight="1" x14ac:dyDescent="0.25">
      <c r="A78" s="9">
        <f>IF(F78="","",ROW()-19-COUNTBLANK($F$20:F78))</f>
        <v>52</v>
      </c>
      <c r="B78" s="19"/>
      <c r="C78" s="4" t="s">
        <v>1762</v>
      </c>
      <c r="D78" s="4" t="s">
        <v>1763</v>
      </c>
      <c r="E78" s="7" t="s">
        <v>1764</v>
      </c>
      <c r="F78" s="7" t="s">
        <v>1765</v>
      </c>
      <c r="G78" s="3" t="s">
        <v>55</v>
      </c>
      <c r="H78" s="3"/>
      <c r="I78" s="3"/>
      <c r="J78" s="3"/>
      <c r="K78" s="3"/>
      <c r="L78" s="3"/>
      <c r="M78" s="3"/>
      <c r="N78" s="3"/>
      <c r="O78" s="3"/>
      <c r="P78" s="3"/>
      <c r="Q78" s="3"/>
    </row>
    <row r="79" spans="1:17" ht="60" customHeight="1" x14ac:dyDescent="0.25">
      <c r="A79" s="9">
        <f>IF(F79="","",ROW()-19-COUNTBLANK($F$20:F79))</f>
        <v>53</v>
      </c>
      <c r="B79" s="4" t="s">
        <v>1766</v>
      </c>
      <c r="C79" s="4" t="s">
        <v>1767</v>
      </c>
      <c r="D79" s="4" t="s">
        <v>1768</v>
      </c>
      <c r="E79" s="7" t="s">
        <v>1769</v>
      </c>
      <c r="F79" s="7" t="s">
        <v>1770</v>
      </c>
      <c r="G79" s="3" t="s">
        <v>50</v>
      </c>
      <c r="H79" s="3"/>
      <c r="I79" s="3"/>
      <c r="J79" s="3"/>
      <c r="K79" s="3"/>
      <c r="L79" s="3"/>
      <c r="M79" s="3"/>
      <c r="N79" s="3"/>
      <c r="O79" s="3"/>
      <c r="P79" s="3"/>
      <c r="Q79" s="3"/>
    </row>
    <row r="80" spans="1:17" ht="60" customHeight="1" x14ac:dyDescent="0.25">
      <c r="A80" s="9">
        <f>IF(F80="","",ROW()-19-COUNTBLANK($F$20:F80))</f>
        <v>54</v>
      </c>
      <c r="B80" s="17" t="s">
        <v>1771</v>
      </c>
      <c r="C80" s="4" t="s">
        <v>1772</v>
      </c>
      <c r="D80" s="4" t="s">
        <v>1773</v>
      </c>
      <c r="E80" s="7" t="s">
        <v>1774</v>
      </c>
      <c r="F80" s="7" t="s">
        <v>1775</v>
      </c>
      <c r="G80" s="3" t="s">
        <v>55</v>
      </c>
      <c r="H80" s="3"/>
      <c r="I80" s="3"/>
      <c r="J80" s="3"/>
      <c r="K80" s="3"/>
      <c r="L80" s="3"/>
      <c r="M80" s="3"/>
      <c r="N80" s="3"/>
      <c r="O80" s="3"/>
      <c r="P80" s="3"/>
      <c r="Q80" s="3"/>
    </row>
    <row r="81" spans="1:17" ht="60" customHeight="1" x14ac:dyDescent="0.25">
      <c r="A81" s="9">
        <f>IF(F81="","",ROW()-19-COUNTBLANK($F$20:F81))</f>
        <v>55</v>
      </c>
      <c r="B81" s="19"/>
      <c r="C81" s="4" t="s">
        <v>1776</v>
      </c>
      <c r="D81" s="4" t="s">
        <v>1777</v>
      </c>
      <c r="E81" s="7" t="s">
        <v>1778</v>
      </c>
      <c r="F81" s="7" t="s">
        <v>1779</v>
      </c>
      <c r="G81" s="3" t="s">
        <v>55</v>
      </c>
      <c r="H81" s="3"/>
      <c r="I81" s="3"/>
      <c r="J81" s="3"/>
      <c r="K81" s="3"/>
      <c r="L81" s="3"/>
      <c r="M81" s="3"/>
      <c r="N81" s="3"/>
      <c r="O81" s="3"/>
      <c r="P81" s="3"/>
      <c r="Q81" s="3"/>
    </row>
    <row r="82" spans="1:17" ht="60" customHeight="1" x14ac:dyDescent="0.25">
      <c r="A82" s="9">
        <f>IF(F82="","",ROW()-19-COUNTBLANK($F$20:F82))</f>
        <v>56</v>
      </c>
      <c r="B82" s="4" t="s">
        <v>1780</v>
      </c>
      <c r="C82" s="4" t="s">
        <v>1781</v>
      </c>
      <c r="D82" s="4" t="s">
        <v>1782</v>
      </c>
      <c r="E82" s="7" t="s">
        <v>1783</v>
      </c>
      <c r="F82" s="7" t="s">
        <v>1784</v>
      </c>
      <c r="G82" s="3" t="s">
        <v>50</v>
      </c>
      <c r="H82" s="3"/>
      <c r="I82" s="3"/>
      <c r="J82" s="3"/>
      <c r="K82" s="3"/>
      <c r="L82" s="3"/>
      <c r="M82" s="3"/>
      <c r="N82" s="3"/>
      <c r="O82" s="3"/>
      <c r="P82" s="3"/>
      <c r="Q82" s="3"/>
    </row>
    <row r="83" spans="1:17" ht="60" customHeight="1" x14ac:dyDescent="0.25">
      <c r="A83" s="9">
        <f>IF(F83="","",ROW()-19-COUNTBLANK($F$20:F83))</f>
        <v>57</v>
      </c>
      <c r="B83" s="17" t="s">
        <v>1785</v>
      </c>
      <c r="C83" s="4" t="s">
        <v>1786</v>
      </c>
      <c r="D83" s="4" t="s">
        <v>1787</v>
      </c>
      <c r="E83" s="7" t="s">
        <v>1788</v>
      </c>
      <c r="F83" s="7" t="s">
        <v>1789</v>
      </c>
      <c r="G83" s="3" t="s">
        <v>55</v>
      </c>
      <c r="H83" s="3"/>
      <c r="I83" s="3"/>
      <c r="J83" s="3"/>
      <c r="K83" s="3"/>
      <c r="L83" s="3"/>
      <c r="M83" s="3"/>
      <c r="N83" s="3"/>
      <c r="O83" s="3"/>
      <c r="P83" s="3"/>
      <c r="Q83" s="3"/>
    </row>
    <row r="84" spans="1:17" ht="60" customHeight="1" x14ac:dyDescent="0.25">
      <c r="A84" s="9">
        <f>IF(F84="","",ROW()-19-COUNTBLANK($F$20:F84))</f>
        <v>58</v>
      </c>
      <c r="B84" s="18"/>
      <c r="C84" s="4" t="s">
        <v>1790</v>
      </c>
      <c r="D84" s="4" t="s">
        <v>1791</v>
      </c>
      <c r="E84" s="7" t="s">
        <v>1792</v>
      </c>
      <c r="F84" s="7" t="s">
        <v>1793</v>
      </c>
      <c r="G84" s="3" t="s">
        <v>55</v>
      </c>
      <c r="H84" s="3"/>
      <c r="I84" s="3"/>
      <c r="J84" s="3"/>
      <c r="K84" s="3"/>
      <c r="L84" s="3"/>
      <c r="M84" s="3"/>
      <c r="N84" s="3"/>
      <c r="O84" s="3"/>
      <c r="P84" s="3"/>
      <c r="Q84" s="3"/>
    </row>
    <row r="85" spans="1:17" ht="60" customHeight="1" x14ac:dyDescent="0.25">
      <c r="A85" s="9">
        <f>IF(F85="","",ROW()-19-COUNTBLANK($F$20:F85))</f>
        <v>59</v>
      </c>
      <c r="B85" s="19"/>
      <c r="C85" s="4" t="s">
        <v>1794</v>
      </c>
      <c r="D85" s="4" t="s">
        <v>1795</v>
      </c>
      <c r="E85" s="7" t="s">
        <v>1796</v>
      </c>
      <c r="F85" s="7" t="s">
        <v>1797</v>
      </c>
      <c r="G85" s="3" t="s">
        <v>55</v>
      </c>
      <c r="H85" s="3"/>
      <c r="I85" s="3"/>
      <c r="J85" s="3"/>
      <c r="K85" s="3"/>
      <c r="L85" s="3"/>
      <c r="M85" s="3"/>
      <c r="N85" s="3"/>
      <c r="O85" s="3"/>
      <c r="P85" s="3"/>
      <c r="Q85" s="3"/>
    </row>
    <row r="86" spans="1:17" ht="60" customHeight="1" x14ac:dyDescent="0.25">
      <c r="A86" s="9">
        <f>IF(F86="","",ROW()-19-COUNTBLANK($F$20:F86))</f>
        <v>60</v>
      </c>
      <c r="B86" s="4" t="s">
        <v>1798</v>
      </c>
      <c r="C86" s="4" t="s">
        <v>1799</v>
      </c>
      <c r="D86" s="4" t="s">
        <v>1800</v>
      </c>
      <c r="E86" s="7" t="s">
        <v>1801</v>
      </c>
      <c r="F86" s="7" t="s">
        <v>1802</v>
      </c>
      <c r="G86" s="3" t="s">
        <v>50</v>
      </c>
      <c r="H86" s="3"/>
      <c r="I86" s="3"/>
      <c r="J86" s="3"/>
      <c r="K86" s="3"/>
      <c r="L86" s="3"/>
      <c r="M86" s="3"/>
      <c r="N86" s="3"/>
      <c r="O86" s="3"/>
      <c r="P86" s="3"/>
      <c r="Q86" s="3"/>
    </row>
    <row r="87" spans="1:17" ht="60" customHeight="1" x14ac:dyDescent="0.25">
      <c r="A87" s="9">
        <f>IF(F87="","",ROW()-19-COUNTBLANK($F$20:F87))</f>
        <v>61</v>
      </c>
      <c r="B87" s="17" t="s">
        <v>1803</v>
      </c>
      <c r="C87" s="4" t="s">
        <v>1804</v>
      </c>
      <c r="D87" s="4" t="s">
        <v>1805</v>
      </c>
      <c r="E87" s="7" t="s">
        <v>1806</v>
      </c>
      <c r="F87" s="7" t="s">
        <v>1807</v>
      </c>
      <c r="G87" s="3" t="s">
        <v>55</v>
      </c>
      <c r="H87" s="3"/>
      <c r="I87" s="3"/>
      <c r="J87" s="3"/>
      <c r="K87" s="3"/>
      <c r="L87" s="3"/>
      <c r="M87" s="3"/>
      <c r="N87" s="3"/>
      <c r="O87" s="3"/>
      <c r="P87" s="3"/>
      <c r="Q87" s="3"/>
    </row>
    <row r="88" spans="1:17" ht="60" customHeight="1" x14ac:dyDescent="0.25">
      <c r="A88" s="9">
        <f>IF(F88="","",ROW()-19-COUNTBLANK($F$20:F88))</f>
        <v>62</v>
      </c>
      <c r="B88" s="19"/>
      <c r="C88" s="4" t="s">
        <v>1808</v>
      </c>
      <c r="D88" s="4" t="s">
        <v>1809</v>
      </c>
      <c r="E88" s="7" t="s">
        <v>1810</v>
      </c>
      <c r="F88" s="7" t="s">
        <v>1811</v>
      </c>
      <c r="G88" s="3" t="s">
        <v>55</v>
      </c>
      <c r="H88" s="3"/>
      <c r="I88" s="3"/>
      <c r="J88" s="3"/>
      <c r="K88" s="3"/>
      <c r="L88" s="3"/>
      <c r="M88" s="3"/>
      <c r="N88" s="3"/>
      <c r="O88" s="3"/>
      <c r="P88" s="3"/>
      <c r="Q88" s="3"/>
    </row>
    <row r="89" spans="1:17" ht="60" customHeight="1" x14ac:dyDescent="0.25">
      <c r="A89" s="9">
        <f>IF(F89="","",ROW()-19-COUNTBLANK($F$20:F89))</f>
        <v>63</v>
      </c>
      <c r="B89" s="4" t="s">
        <v>1812</v>
      </c>
      <c r="C89" s="4" t="s">
        <v>1813</v>
      </c>
      <c r="D89" s="4" t="s">
        <v>1697</v>
      </c>
      <c r="E89" s="7" t="s">
        <v>1814</v>
      </c>
      <c r="F89" s="7" t="s">
        <v>1815</v>
      </c>
      <c r="G89" s="3" t="s">
        <v>55</v>
      </c>
      <c r="H89" s="3"/>
      <c r="I89" s="3"/>
      <c r="J89" s="3"/>
      <c r="K89" s="3"/>
      <c r="L89" s="3"/>
      <c r="M89" s="3"/>
      <c r="N89" s="3"/>
      <c r="O89" s="3"/>
      <c r="P89" s="3"/>
      <c r="Q89" s="3"/>
    </row>
    <row r="90" spans="1:17" ht="20.100000000000001" customHeight="1" x14ac:dyDescent="0.25">
      <c r="A90" s="9" t="str">
        <f>IF(F90="","",ROW()-19-COUNTBLANK($F$20:F90))</f>
        <v/>
      </c>
      <c r="B90" s="12" t="s">
        <v>1816</v>
      </c>
      <c r="C90" s="12"/>
      <c r="D90" s="12"/>
      <c r="E90" s="12"/>
      <c r="F90" s="12"/>
      <c r="G90" s="12"/>
      <c r="H90" s="12"/>
      <c r="I90" s="12"/>
      <c r="J90" s="12"/>
      <c r="K90" s="12"/>
      <c r="L90" s="12"/>
      <c r="M90" s="12"/>
      <c r="N90" s="12"/>
      <c r="O90" s="12"/>
      <c r="P90" s="12"/>
      <c r="Q90" s="12"/>
    </row>
    <row r="91" spans="1:17" ht="60" customHeight="1" x14ac:dyDescent="0.25">
      <c r="A91" s="9">
        <f>IF(F91="","",ROW()-19-COUNTBLANK($F$20:F91))</f>
        <v>64</v>
      </c>
      <c r="B91" s="4" t="s">
        <v>1676</v>
      </c>
      <c r="C91" s="4" t="s">
        <v>1677</v>
      </c>
      <c r="D91" s="4" t="s">
        <v>1678</v>
      </c>
      <c r="E91" s="7" t="s">
        <v>1817</v>
      </c>
      <c r="F91" s="7" t="s">
        <v>1680</v>
      </c>
      <c r="G91" s="3" t="s">
        <v>50</v>
      </c>
      <c r="H91" s="3"/>
      <c r="I91" s="3"/>
      <c r="J91" s="3"/>
      <c r="K91" s="3"/>
      <c r="L91" s="3"/>
      <c r="M91" s="3"/>
      <c r="N91" s="3"/>
      <c r="O91" s="3"/>
      <c r="P91" s="3"/>
      <c r="Q91" s="3"/>
    </row>
    <row r="92" spans="1:17" ht="60" customHeight="1" x14ac:dyDescent="0.25">
      <c r="A92" s="9">
        <f>IF(F92="","",ROW()-19-COUNTBLANK($F$20:F92))</f>
        <v>65</v>
      </c>
      <c r="B92" s="17" t="s">
        <v>1818</v>
      </c>
      <c r="C92" s="4" t="s">
        <v>1682</v>
      </c>
      <c r="D92" s="4" t="s">
        <v>1683</v>
      </c>
      <c r="E92" s="7" t="s">
        <v>1819</v>
      </c>
      <c r="F92" s="7" t="s">
        <v>1685</v>
      </c>
      <c r="G92" s="3" t="s">
        <v>55</v>
      </c>
      <c r="H92" s="3"/>
      <c r="I92" s="3"/>
      <c r="J92" s="3"/>
      <c r="K92" s="3"/>
      <c r="L92" s="3"/>
      <c r="M92" s="3"/>
      <c r="N92" s="3"/>
      <c r="O92" s="3"/>
      <c r="P92" s="3"/>
      <c r="Q92" s="3"/>
    </row>
    <row r="93" spans="1:17" ht="60" customHeight="1" x14ac:dyDescent="0.25">
      <c r="A93" s="9">
        <f>IF(F93="","",ROW()-19-COUNTBLANK($F$20:F93))</f>
        <v>66</v>
      </c>
      <c r="B93" s="19"/>
      <c r="C93" s="4" t="s">
        <v>1686</v>
      </c>
      <c r="D93" s="4" t="s">
        <v>1687</v>
      </c>
      <c r="E93" s="7" t="s">
        <v>1820</v>
      </c>
      <c r="F93" s="7" t="s">
        <v>1689</v>
      </c>
      <c r="G93" s="3" t="s">
        <v>55</v>
      </c>
      <c r="H93" s="3"/>
      <c r="I93" s="3"/>
      <c r="J93" s="3"/>
      <c r="K93" s="3"/>
      <c r="L93" s="3"/>
      <c r="M93" s="3"/>
      <c r="N93" s="3"/>
      <c r="O93" s="3"/>
      <c r="P93" s="3"/>
      <c r="Q93" s="3"/>
    </row>
    <row r="94" spans="1:17" ht="60" customHeight="1" x14ac:dyDescent="0.25">
      <c r="A94" s="9">
        <f>IF(F94="","",ROW()-19-COUNTBLANK($F$20:F94))</f>
        <v>67</v>
      </c>
      <c r="B94" s="4" t="s">
        <v>1690</v>
      </c>
      <c r="C94" s="4" t="s">
        <v>1691</v>
      </c>
      <c r="D94" s="4" t="s">
        <v>1821</v>
      </c>
      <c r="E94" s="7" t="s">
        <v>1822</v>
      </c>
      <c r="F94" s="7" t="s">
        <v>1823</v>
      </c>
      <c r="G94" s="3" t="s">
        <v>50</v>
      </c>
      <c r="H94" s="3"/>
      <c r="I94" s="3"/>
      <c r="J94" s="3"/>
      <c r="K94" s="3"/>
      <c r="L94" s="3"/>
      <c r="M94" s="3"/>
      <c r="N94" s="3"/>
      <c r="O94" s="3"/>
      <c r="P94" s="3"/>
      <c r="Q94" s="3"/>
    </row>
    <row r="95" spans="1:17" ht="60" customHeight="1" x14ac:dyDescent="0.25">
      <c r="A95" s="9">
        <f>IF(F95="","",ROW()-19-COUNTBLANK($F$20:F95))</f>
        <v>68</v>
      </c>
      <c r="B95" s="17" t="s">
        <v>1824</v>
      </c>
      <c r="C95" s="4" t="s">
        <v>1825</v>
      </c>
      <c r="D95" s="4" t="s">
        <v>1826</v>
      </c>
      <c r="E95" s="7" t="s">
        <v>1827</v>
      </c>
      <c r="F95" s="7" t="s">
        <v>1828</v>
      </c>
      <c r="G95" s="3" t="s">
        <v>55</v>
      </c>
      <c r="H95" s="3"/>
      <c r="I95" s="3"/>
      <c r="J95" s="3"/>
      <c r="K95" s="3"/>
      <c r="L95" s="3"/>
      <c r="M95" s="3"/>
      <c r="N95" s="3"/>
      <c r="O95" s="3"/>
      <c r="P95" s="3"/>
      <c r="Q95" s="3"/>
    </row>
    <row r="96" spans="1:17" ht="60" customHeight="1" x14ac:dyDescent="0.25">
      <c r="A96" s="9">
        <f>IF(F96="","",ROW()-19-COUNTBLANK($F$20:F96))</f>
        <v>69</v>
      </c>
      <c r="B96" s="18"/>
      <c r="C96" s="4" t="s">
        <v>1829</v>
      </c>
      <c r="D96" s="4" t="s">
        <v>1830</v>
      </c>
      <c r="E96" s="7" t="s">
        <v>1831</v>
      </c>
      <c r="F96" s="7" t="s">
        <v>1832</v>
      </c>
      <c r="G96" s="3" t="s">
        <v>55</v>
      </c>
      <c r="H96" s="3"/>
      <c r="I96" s="3"/>
      <c r="J96" s="3"/>
      <c r="K96" s="3"/>
      <c r="L96" s="3"/>
      <c r="M96" s="3"/>
      <c r="N96" s="3"/>
      <c r="O96" s="3"/>
      <c r="P96" s="3"/>
      <c r="Q96" s="3"/>
    </row>
    <row r="97" spans="1:17" ht="60" customHeight="1" x14ac:dyDescent="0.25">
      <c r="A97" s="9">
        <f>IF(F97="","",ROW()-19-COUNTBLANK($F$20:F97))</f>
        <v>70</v>
      </c>
      <c r="B97" s="18"/>
      <c r="C97" s="4" t="s">
        <v>1833</v>
      </c>
      <c r="D97" s="4" t="s">
        <v>1834</v>
      </c>
      <c r="E97" s="7" t="s">
        <v>1835</v>
      </c>
      <c r="F97" s="7" t="s">
        <v>1836</v>
      </c>
      <c r="G97" s="3" t="s">
        <v>55</v>
      </c>
      <c r="H97" s="3"/>
      <c r="I97" s="3"/>
      <c r="J97" s="3"/>
      <c r="K97" s="3"/>
      <c r="L97" s="3"/>
      <c r="M97" s="3"/>
      <c r="N97" s="3"/>
      <c r="O97" s="3"/>
      <c r="P97" s="3"/>
      <c r="Q97" s="3"/>
    </row>
    <row r="98" spans="1:17" ht="60" customHeight="1" x14ac:dyDescent="0.25">
      <c r="A98" s="9">
        <f>IF(F98="","",ROW()-19-COUNTBLANK($F$20:F98))</f>
        <v>71</v>
      </c>
      <c r="B98" s="18"/>
      <c r="C98" s="4" t="s">
        <v>1837</v>
      </c>
      <c r="D98" s="4" t="s">
        <v>1838</v>
      </c>
      <c r="E98" s="7" t="s">
        <v>1839</v>
      </c>
      <c r="F98" s="7" t="s">
        <v>1840</v>
      </c>
      <c r="G98" s="3" t="s">
        <v>55</v>
      </c>
      <c r="H98" s="3"/>
      <c r="I98" s="3"/>
      <c r="J98" s="3"/>
      <c r="K98" s="3"/>
      <c r="L98" s="3"/>
      <c r="M98" s="3"/>
      <c r="N98" s="3"/>
      <c r="O98" s="3"/>
      <c r="P98" s="3"/>
      <c r="Q98" s="3"/>
    </row>
    <row r="99" spans="1:17" ht="60" customHeight="1" x14ac:dyDescent="0.25">
      <c r="A99" s="9">
        <f>IF(F99="","",ROW()-19-COUNTBLANK($F$20:F99))</f>
        <v>72</v>
      </c>
      <c r="B99" s="18"/>
      <c r="C99" s="4" t="s">
        <v>1841</v>
      </c>
      <c r="D99" s="4" t="s">
        <v>1842</v>
      </c>
      <c r="E99" s="7" t="s">
        <v>1843</v>
      </c>
      <c r="F99" s="7" t="s">
        <v>1844</v>
      </c>
      <c r="G99" s="3" t="s">
        <v>55</v>
      </c>
      <c r="H99" s="3"/>
      <c r="I99" s="3"/>
      <c r="J99" s="3"/>
      <c r="K99" s="3"/>
      <c r="L99" s="3"/>
      <c r="M99" s="3"/>
      <c r="N99" s="3"/>
      <c r="O99" s="3"/>
      <c r="P99" s="3"/>
      <c r="Q99" s="3"/>
    </row>
    <row r="100" spans="1:17" ht="60" customHeight="1" x14ac:dyDescent="0.25">
      <c r="A100" s="9">
        <f>IF(F100="","",ROW()-19-COUNTBLANK($F$20:F100))</f>
        <v>73</v>
      </c>
      <c r="B100" s="18"/>
      <c r="C100" s="4" t="s">
        <v>1845</v>
      </c>
      <c r="D100" s="4" t="s">
        <v>1846</v>
      </c>
      <c r="E100" s="7" t="s">
        <v>1847</v>
      </c>
      <c r="F100" s="7" t="s">
        <v>1848</v>
      </c>
      <c r="G100" s="3" t="s">
        <v>55</v>
      </c>
      <c r="H100" s="3"/>
      <c r="I100" s="3"/>
      <c r="J100" s="3"/>
      <c r="K100" s="3"/>
      <c r="L100" s="3"/>
      <c r="M100" s="3"/>
      <c r="N100" s="3"/>
      <c r="O100" s="3"/>
      <c r="P100" s="3"/>
      <c r="Q100" s="3"/>
    </row>
    <row r="101" spans="1:17" ht="60" customHeight="1" x14ac:dyDescent="0.25">
      <c r="A101" s="9">
        <f>IF(F101="","",ROW()-19-COUNTBLANK($F$20:F101))</f>
        <v>74</v>
      </c>
      <c r="B101" s="19"/>
      <c r="C101" s="4" t="s">
        <v>1849</v>
      </c>
      <c r="D101" s="4" t="s">
        <v>1850</v>
      </c>
      <c r="E101" s="7" t="s">
        <v>1851</v>
      </c>
      <c r="F101" s="7" t="s">
        <v>1852</v>
      </c>
      <c r="G101" s="3" t="s">
        <v>55</v>
      </c>
      <c r="H101" s="3"/>
      <c r="I101" s="3"/>
      <c r="J101" s="3"/>
      <c r="K101" s="3"/>
      <c r="L101" s="3"/>
      <c r="M101" s="3"/>
      <c r="N101" s="3"/>
      <c r="O101" s="3"/>
      <c r="P101" s="3"/>
      <c r="Q101" s="3"/>
    </row>
    <row r="102" spans="1:17" ht="60" customHeight="1" x14ac:dyDescent="0.25">
      <c r="A102" s="9">
        <f>IF(F102="","",ROW()-19-COUNTBLANK($F$20:F102))</f>
        <v>75</v>
      </c>
      <c r="B102" s="4" t="s">
        <v>1736</v>
      </c>
      <c r="C102" s="4" t="s">
        <v>1737</v>
      </c>
      <c r="D102" s="4" t="s">
        <v>1853</v>
      </c>
      <c r="E102" s="7" t="s">
        <v>1854</v>
      </c>
      <c r="F102" s="7" t="s">
        <v>1855</v>
      </c>
      <c r="G102" s="3" t="s">
        <v>50</v>
      </c>
      <c r="H102" s="3"/>
      <c r="I102" s="3"/>
      <c r="J102" s="3"/>
      <c r="K102" s="3"/>
      <c r="L102" s="3"/>
      <c r="M102" s="3"/>
      <c r="N102" s="3"/>
      <c r="O102" s="3"/>
      <c r="P102" s="3"/>
      <c r="Q102" s="3"/>
    </row>
    <row r="103" spans="1:17" ht="60" customHeight="1" x14ac:dyDescent="0.25">
      <c r="A103" s="9">
        <f>IF(F103="","",ROW()-19-COUNTBLANK($F$20:F103))</f>
        <v>76</v>
      </c>
      <c r="B103" s="17" t="s">
        <v>1856</v>
      </c>
      <c r="C103" s="4" t="s">
        <v>1857</v>
      </c>
      <c r="D103" s="4" t="s">
        <v>1858</v>
      </c>
      <c r="E103" s="7" t="s">
        <v>1859</v>
      </c>
      <c r="F103" s="7" t="s">
        <v>1860</v>
      </c>
      <c r="G103" s="3" t="s">
        <v>55</v>
      </c>
      <c r="H103" s="3"/>
      <c r="I103" s="3"/>
      <c r="J103" s="3"/>
      <c r="K103" s="3"/>
      <c r="L103" s="3"/>
      <c r="M103" s="3"/>
      <c r="N103" s="3"/>
      <c r="O103" s="3"/>
      <c r="P103" s="3"/>
      <c r="Q103" s="3"/>
    </row>
    <row r="104" spans="1:17" ht="60" customHeight="1" x14ac:dyDescent="0.25">
      <c r="A104" s="9">
        <f>IF(F104="","",ROW()-19-COUNTBLANK($F$20:F104))</f>
        <v>77</v>
      </c>
      <c r="B104" s="18"/>
      <c r="C104" s="4" t="s">
        <v>1861</v>
      </c>
      <c r="D104" s="4" t="s">
        <v>1862</v>
      </c>
      <c r="E104" s="7" t="s">
        <v>1863</v>
      </c>
      <c r="F104" s="7" t="s">
        <v>1864</v>
      </c>
      <c r="G104" s="3" t="s">
        <v>55</v>
      </c>
      <c r="H104" s="3"/>
      <c r="I104" s="3"/>
      <c r="J104" s="3"/>
      <c r="K104" s="3"/>
      <c r="L104" s="3"/>
      <c r="M104" s="3"/>
      <c r="N104" s="3"/>
      <c r="O104" s="3"/>
      <c r="P104" s="3"/>
      <c r="Q104" s="3"/>
    </row>
    <row r="105" spans="1:17" ht="60" customHeight="1" x14ac:dyDescent="0.25">
      <c r="A105" s="9">
        <f>IF(F105="","",ROW()-19-COUNTBLANK($F$20:F105))</f>
        <v>78</v>
      </c>
      <c r="B105" s="18"/>
      <c r="C105" s="4" t="s">
        <v>1865</v>
      </c>
      <c r="D105" s="4" t="s">
        <v>1866</v>
      </c>
      <c r="E105" s="7" t="s">
        <v>1867</v>
      </c>
      <c r="F105" s="7" t="s">
        <v>1868</v>
      </c>
      <c r="G105" s="3" t="s">
        <v>55</v>
      </c>
      <c r="H105" s="3"/>
      <c r="I105" s="3"/>
      <c r="J105" s="3"/>
      <c r="K105" s="3"/>
      <c r="L105" s="3"/>
      <c r="M105" s="3"/>
      <c r="N105" s="3"/>
      <c r="O105" s="3"/>
      <c r="P105" s="3"/>
      <c r="Q105" s="3"/>
    </row>
    <row r="106" spans="1:17" ht="60" customHeight="1" x14ac:dyDescent="0.25">
      <c r="A106" s="9">
        <f>IF(F106="","",ROW()-19-COUNTBLANK($F$20:F106))</f>
        <v>79</v>
      </c>
      <c r="B106" s="18"/>
      <c r="C106" s="4" t="s">
        <v>1869</v>
      </c>
      <c r="D106" s="4" t="s">
        <v>1870</v>
      </c>
      <c r="E106" s="7" t="s">
        <v>1871</v>
      </c>
      <c r="F106" s="7" t="s">
        <v>1872</v>
      </c>
      <c r="G106" s="3" t="s">
        <v>55</v>
      </c>
      <c r="H106" s="3"/>
      <c r="I106" s="3"/>
      <c r="J106" s="3"/>
      <c r="K106" s="3"/>
      <c r="L106" s="3"/>
      <c r="M106" s="3"/>
      <c r="N106" s="3"/>
      <c r="O106" s="3"/>
      <c r="P106" s="3"/>
      <c r="Q106" s="3"/>
    </row>
    <row r="107" spans="1:17" ht="60" customHeight="1" x14ac:dyDescent="0.25">
      <c r="A107" s="9">
        <f>IF(F107="","",ROW()-19-COUNTBLANK($F$20:F107))</f>
        <v>80</v>
      </c>
      <c r="B107" s="18"/>
      <c r="C107" s="4" t="s">
        <v>1873</v>
      </c>
      <c r="D107" s="4" t="s">
        <v>1874</v>
      </c>
      <c r="E107" s="7" t="s">
        <v>1875</v>
      </c>
      <c r="F107" s="7" t="s">
        <v>1876</v>
      </c>
      <c r="G107" s="3" t="s">
        <v>55</v>
      </c>
      <c r="H107" s="3"/>
      <c r="I107" s="3"/>
      <c r="J107" s="3"/>
      <c r="K107" s="3"/>
      <c r="L107" s="3"/>
      <c r="M107" s="3"/>
      <c r="N107" s="3"/>
      <c r="O107" s="3"/>
      <c r="P107" s="3"/>
      <c r="Q107" s="3"/>
    </row>
    <row r="108" spans="1:17" ht="60" customHeight="1" x14ac:dyDescent="0.25">
      <c r="A108" s="9">
        <f>IF(F108="","",ROW()-19-COUNTBLANK($F$20:F108))</f>
        <v>81</v>
      </c>
      <c r="B108" s="18"/>
      <c r="C108" s="4" t="s">
        <v>1877</v>
      </c>
      <c r="D108" s="4" t="s">
        <v>1878</v>
      </c>
      <c r="E108" s="7" t="s">
        <v>1879</v>
      </c>
      <c r="F108" s="7" t="s">
        <v>1880</v>
      </c>
      <c r="G108" s="3" t="s">
        <v>55</v>
      </c>
      <c r="H108" s="3"/>
      <c r="I108" s="3"/>
      <c r="J108" s="3"/>
      <c r="K108" s="3"/>
      <c r="L108" s="3"/>
      <c r="M108" s="3"/>
      <c r="N108" s="3"/>
      <c r="O108" s="3"/>
      <c r="P108" s="3"/>
      <c r="Q108" s="3"/>
    </row>
    <row r="109" spans="1:17" ht="60" customHeight="1" x14ac:dyDescent="0.25">
      <c r="A109" s="9">
        <f>IF(F109="","",ROW()-19-COUNTBLANK($F$20:F109))</f>
        <v>82</v>
      </c>
      <c r="B109" s="18"/>
      <c r="C109" s="4" t="s">
        <v>1881</v>
      </c>
      <c r="D109" s="4" t="s">
        <v>1882</v>
      </c>
      <c r="E109" s="7" t="s">
        <v>1883</v>
      </c>
      <c r="F109" s="7" t="s">
        <v>1884</v>
      </c>
      <c r="G109" s="3" t="s">
        <v>55</v>
      </c>
      <c r="H109" s="3"/>
      <c r="I109" s="3"/>
      <c r="J109" s="3"/>
      <c r="K109" s="3"/>
      <c r="L109" s="3"/>
      <c r="M109" s="3"/>
      <c r="N109" s="3"/>
      <c r="O109" s="3"/>
      <c r="P109" s="3"/>
      <c r="Q109" s="3"/>
    </row>
    <row r="110" spans="1:17" ht="60" customHeight="1" x14ac:dyDescent="0.25">
      <c r="A110" s="9">
        <f>IF(F110="","",ROW()-19-COUNTBLANK($F$20:F110))</f>
        <v>83</v>
      </c>
      <c r="B110" s="19"/>
      <c r="C110" s="4" t="s">
        <v>1885</v>
      </c>
      <c r="D110" s="4" t="s">
        <v>1886</v>
      </c>
      <c r="E110" s="7" t="s">
        <v>1887</v>
      </c>
      <c r="F110" s="7" t="s">
        <v>1888</v>
      </c>
      <c r="G110" s="3" t="s">
        <v>55</v>
      </c>
      <c r="H110" s="3"/>
      <c r="I110" s="3"/>
      <c r="J110" s="3"/>
      <c r="K110" s="3"/>
      <c r="L110" s="3"/>
      <c r="M110" s="3"/>
      <c r="N110" s="3"/>
      <c r="O110" s="3"/>
      <c r="P110" s="3"/>
      <c r="Q110" s="3"/>
    </row>
    <row r="111" spans="1:17" ht="60" customHeight="1" x14ac:dyDescent="0.25">
      <c r="A111" s="9">
        <f>IF(F111="","",ROW()-19-COUNTBLANK($F$20:F111))</f>
        <v>84</v>
      </c>
      <c r="B111" s="4" t="s">
        <v>1889</v>
      </c>
      <c r="C111" s="4" t="s">
        <v>1890</v>
      </c>
      <c r="D111" s="4" t="s">
        <v>1891</v>
      </c>
      <c r="E111" s="7" t="s">
        <v>1892</v>
      </c>
      <c r="F111" s="7" t="s">
        <v>1893</v>
      </c>
      <c r="G111" s="3" t="s">
        <v>50</v>
      </c>
      <c r="H111" s="3"/>
      <c r="I111" s="3"/>
      <c r="J111" s="3"/>
      <c r="K111" s="3"/>
      <c r="L111" s="3"/>
      <c r="M111" s="3"/>
      <c r="N111" s="3"/>
      <c r="O111" s="3"/>
      <c r="P111" s="3"/>
      <c r="Q111" s="3"/>
    </row>
    <row r="112" spans="1:17" ht="60" customHeight="1" x14ac:dyDescent="0.25">
      <c r="A112" s="9">
        <f>IF(F112="","",ROW()-19-COUNTBLANK($F$20:F112))</f>
        <v>85</v>
      </c>
      <c r="B112" s="17" t="s">
        <v>1894</v>
      </c>
      <c r="C112" s="4" t="s">
        <v>1895</v>
      </c>
      <c r="D112" s="4" t="s">
        <v>1896</v>
      </c>
      <c r="E112" s="7" t="s">
        <v>1897</v>
      </c>
      <c r="F112" s="7" t="s">
        <v>1898</v>
      </c>
      <c r="G112" s="3" t="s">
        <v>55</v>
      </c>
      <c r="H112" s="3"/>
      <c r="I112" s="3"/>
      <c r="J112" s="3"/>
      <c r="K112" s="3"/>
      <c r="L112" s="3"/>
      <c r="M112" s="3"/>
      <c r="N112" s="3"/>
      <c r="O112" s="3"/>
      <c r="P112" s="3"/>
      <c r="Q112" s="3"/>
    </row>
    <row r="113" spans="1:17" ht="60" customHeight="1" x14ac:dyDescent="0.25">
      <c r="A113" s="9">
        <f>IF(F113="","",ROW()-19-COUNTBLANK($F$20:F113))</f>
        <v>86</v>
      </c>
      <c r="B113" s="19"/>
      <c r="C113" s="4" t="s">
        <v>1899</v>
      </c>
      <c r="D113" s="4" t="s">
        <v>1900</v>
      </c>
      <c r="E113" s="7" t="s">
        <v>1901</v>
      </c>
      <c r="F113" s="7" t="s">
        <v>1902</v>
      </c>
      <c r="G113" s="3" t="s">
        <v>55</v>
      </c>
      <c r="H113" s="3"/>
      <c r="I113" s="3"/>
      <c r="J113" s="3"/>
      <c r="K113" s="3"/>
      <c r="L113" s="3"/>
      <c r="M113" s="3"/>
      <c r="N113" s="3"/>
      <c r="O113" s="3"/>
      <c r="P113" s="3"/>
      <c r="Q113" s="3"/>
    </row>
    <row r="114" spans="1:17" ht="60" customHeight="1" x14ac:dyDescent="0.25">
      <c r="A114" s="9">
        <f>IF(F114="","",ROW()-19-COUNTBLANK($F$20:F114))</f>
        <v>87</v>
      </c>
      <c r="B114" s="4" t="s">
        <v>1903</v>
      </c>
      <c r="C114" s="4" t="s">
        <v>1904</v>
      </c>
      <c r="D114" s="4" t="s">
        <v>1905</v>
      </c>
      <c r="E114" s="7" t="s">
        <v>1906</v>
      </c>
      <c r="F114" s="7" t="s">
        <v>1907</v>
      </c>
      <c r="G114" s="3" t="s">
        <v>50</v>
      </c>
      <c r="H114" s="3"/>
      <c r="I114" s="3"/>
      <c r="J114" s="3"/>
      <c r="K114" s="3"/>
      <c r="L114" s="3"/>
      <c r="M114" s="3"/>
      <c r="N114" s="3"/>
      <c r="O114" s="3"/>
      <c r="P114" s="3"/>
      <c r="Q114" s="3"/>
    </row>
    <row r="115" spans="1:17" ht="60" customHeight="1" x14ac:dyDescent="0.25">
      <c r="A115" s="9">
        <f>IF(F115="","",ROW()-19-COUNTBLANK($F$20:F115))</f>
        <v>88</v>
      </c>
      <c r="B115" s="17" t="s">
        <v>1908</v>
      </c>
      <c r="C115" s="4" t="s">
        <v>1909</v>
      </c>
      <c r="D115" s="4" t="s">
        <v>1910</v>
      </c>
      <c r="E115" s="7" t="s">
        <v>1911</v>
      </c>
      <c r="F115" s="7" t="s">
        <v>1912</v>
      </c>
      <c r="G115" s="3" t="s">
        <v>55</v>
      </c>
      <c r="H115" s="3"/>
      <c r="I115" s="3"/>
      <c r="J115" s="3"/>
      <c r="K115" s="3"/>
      <c r="L115" s="3"/>
      <c r="M115" s="3"/>
      <c r="N115" s="3"/>
      <c r="O115" s="3"/>
      <c r="P115" s="3"/>
      <c r="Q115" s="3"/>
    </row>
    <row r="116" spans="1:17" ht="60" customHeight="1" x14ac:dyDescent="0.25">
      <c r="A116" s="9">
        <f>IF(F116="","",ROW()-19-COUNTBLANK($F$20:F116))</f>
        <v>89</v>
      </c>
      <c r="B116" s="18"/>
      <c r="C116" s="4" t="s">
        <v>1913</v>
      </c>
      <c r="D116" s="4" t="s">
        <v>1914</v>
      </c>
      <c r="E116" s="7" t="s">
        <v>1915</v>
      </c>
      <c r="F116" s="7" t="s">
        <v>1916</v>
      </c>
      <c r="G116" s="3" t="s">
        <v>55</v>
      </c>
      <c r="H116" s="3"/>
      <c r="I116" s="3"/>
      <c r="J116" s="3"/>
      <c r="K116" s="3"/>
      <c r="L116" s="3"/>
      <c r="M116" s="3"/>
      <c r="N116" s="3"/>
      <c r="O116" s="3"/>
      <c r="P116" s="3"/>
      <c r="Q116" s="3"/>
    </row>
    <row r="117" spans="1:17" ht="60" customHeight="1" x14ac:dyDescent="0.25">
      <c r="A117" s="9">
        <f>IF(F117="","",ROW()-19-COUNTBLANK($F$20:F117))</f>
        <v>90</v>
      </c>
      <c r="B117" s="18"/>
      <c r="C117" s="4" t="s">
        <v>1917</v>
      </c>
      <c r="D117" s="4" t="s">
        <v>1918</v>
      </c>
      <c r="E117" s="7" t="s">
        <v>1919</v>
      </c>
      <c r="F117" s="7" t="s">
        <v>1920</v>
      </c>
      <c r="G117" s="3" t="s">
        <v>55</v>
      </c>
      <c r="H117" s="3"/>
      <c r="I117" s="3"/>
      <c r="J117" s="3"/>
      <c r="K117" s="3"/>
      <c r="L117" s="3"/>
      <c r="M117" s="3"/>
      <c r="N117" s="3"/>
      <c r="O117" s="3"/>
      <c r="P117" s="3"/>
      <c r="Q117" s="3"/>
    </row>
    <row r="118" spans="1:17" ht="60" customHeight="1" x14ac:dyDescent="0.25">
      <c r="A118" s="9">
        <f>IF(F118="","",ROW()-19-COUNTBLANK($F$20:F118))</f>
        <v>91</v>
      </c>
      <c r="B118" s="19"/>
      <c r="C118" s="4" t="s">
        <v>1921</v>
      </c>
      <c r="D118" s="4" t="s">
        <v>1922</v>
      </c>
      <c r="E118" s="7" t="s">
        <v>1923</v>
      </c>
      <c r="F118" s="7" t="s">
        <v>1924</v>
      </c>
      <c r="G118" s="3" t="s">
        <v>55</v>
      </c>
      <c r="H118" s="3"/>
      <c r="I118" s="3"/>
      <c r="J118" s="3"/>
      <c r="K118" s="3"/>
      <c r="L118" s="3"/>
      <c r="M118" s="3"/>
      <c r="N118" s="3"/>
      <c r="O118" s="3"/>
      <c r="P118" s="3"/>
      <c r="Q118" s="3"/>
    </row>
    <row r="119" spans="1:17" ht="60" customHeight="1" x14ac:dyDescent="0.25">
      <c r="A119" s="9">
        <f>IF(F119="","",ROW()-19-COUNTBLANK($F$20:F119))</f>
        <v>92</v>
      </c>
      <c r="B119" s="4" t="s">
        <v>1798</v>
      </c>
      <c r="C119" s="4" t="s">
        <v>1799</v>
      </c>
      <c r="D119" s="4" t="s">
        <v>1925</v>
      </c>
      <c r="E119" s="7" t="s">
        <v>1926</v>
      </c>
      <c r="F119" s="7" t="s">
        <v>1927</v>
      </c>
      <c r="G119" s="3" t="s">
        <v>50</v>
      </c>
      <c r="H119" s="3"/>
      <c r="I119" s="3"/>
      <c r="J119" s="3"/>
      <c r="K119" s="3"/>
      <c r="L119" s="3"/>
      <c r="M119" s="3"/>
      <c r="N119" s="3"/>
      <c r="O119" s="3"/>
      <c r="P119" s="3"/>
      <c r="Q119" s="3"/>
    </row>
    <row r="120" spans="1:17" ht="60" customHeight="1" x14ac:dyDescent="0.25">
      <c r="A120" s="9">
        <f>IF(F120="","",ROW()-19-COUNTBLANK($F$20:F120))</f>
        <v>93</v>
      </c>
      <c r="B120" s="4" t="s">
        <v>1928</v>
      </c>
      <c r="C120" s="4" t="s">
        <v>1929</v>
      </c>
      <c r="D120" s="4" t="s">
        <v>1925</v>
      </c>
      <c r="E120" s="7" t="s">
        <v>1930</v>
      </c>
      <c r="F120" s="7" t="s">
        <v>1931</v>
      </c>
      <c r="G120" s="3" t="s">
        <v>55</v>
      </c>
      <c r="H120" s="3"/>
      <c r="I120" s="3"/>
      <c r="J120" s="3"/>
      <c r="K120" s="3"/>
      <c r="L120" s="3"/>
      <c r="M120" s="3"/>
      <c r="N120" s="3"/>
      <c r="O120" s="3"/>
      <c r="P120" s="3"/>
      <c r="Q120" s="3"/>
    </row>
    <row r="121" spans="1:17" ht="60" customHeight="1" x14ac:dyDescent="0.25">
      <c r="A121" s="9">
        <f>IF(F121="","",ROW()-19-COUNTBLANK($F$20:F121))</f>
        <v>94</v>
      </c>
      <c r="B121" s="4" t="s">
        <v>1812</v>
      </c>
      <c r="C121" s="4" t="s">
        <v>1813</v>
      </c>
      <c r="D121" s="4" t="s">
        <v>1826</v>
      </c>
      <c r="E121" s="7" t="s">
        <v>1932</v>
      </c>
      <c r="F121" s="7" t="s">
        <v>1815</v>
      </c>
      <c r="G121" s="3" t="s">
        <v>55</v>
      </c>
      <c r="H121" s="3"/>
      <c r="I121" s="3"/>
      <c r="J121" s="3"/>
      <c r="K121" s="3"/>
      <c r="L121" s="3"/>
      <c r="M121" s="3"/>
      <c r="N121" s="3"/>
      <c r="O121" s="3"/>
      <c r="P121" s="3"/>
      <c r="Q121" s="3"/>
    </row>
    <row r="122" spans="1:17" ht="20.100000000000001" customHeight="1" x14ac:dyDescent="0.25">
      <c r="A122" s="9" t="str">
        <f>IF(F122="","",ROW()-19-COUNTBLANK($F$20:F122))</f>
        <v/>
      </c>
      <c r="B122" s="12" t="s">
        <v>1933</v>
      </c>
      <c r="C122" s="12"/>
      <c r="D122" s="12"/>
      <c r="E122" s="12"/>
      <c r="F122" s="12"/>
      <c r="G122" s="12"/>
      <c r="H122" s="12"/>
      <c r="I122" s="12"/>
      <c r="J122" s="12"/>
      <c r="K122" s="12"/>
      <c r="L122" s="12"/>
      <c r="M122" s="12"/>
      <c r="N122" s="12"/>
      <c r="O122" s="12"/>
      <c r="P122" s="12"/>
      <c r="Q122" s="12"/>
    </row>
    <row r="123" spans="1:17" ht="60" customHeight="1" x14ac:dyDescent="0.25">
      <c r="A123" s="9">
        <f>IF(F123="","",ROW()-19-COUNTBLANK($F$20:F123))</f>
        <v>95</v>
      </c>
      <c r="B123" s="17" t="s">
        <v>1934</v>
      </c>
      <c r="C123" s="4" t="s">
        <v>1935</v>
      </c>
      <c r="D123" s="4" t="s">
        <v>1936</v>
      </c>
      <c r="E123" s="7" t="s">
        <v>1937</v>
      </c>
      <c r="F123" s="7" t="s">
        <v>1938</v>
      </c>
      <c r="G123" s="3" t="s">
        <v>55</v>
      </c>
      <c r="H123" s="3"/>
      <c r="I123" s="3"/>
      <c r="J123" s="3"/>
      <c r="K123" s="3"/>
      <c r="L123" s="3"/>
      <c r="M123" s="3"/>
      <c r="N123" s="3"/>
      <c r="O123" s="3"/>
      <c r="P123" s="3"/>
      <c r="Q123" s="3"/>
    </row>
    <row r="124" spans="1:17" ht="60" customHeight="1" x14ac:dyDescent="0.25">
      <c r="A124" s="9">
        <f>IF(F124="","",ROW()-19-COUNTBLANK($F$20:F124))</f>
        <v>96</v>
      </c>
      <c r="B124" s="18"/>
      <c r="C124" s="4" t="s">
        <v>1939</v>
      </c>
      <c r="D124" s="4" t="s">
        <v>1940</v>
      </c>
      <c r="E124" s="7" t="s">
        <v>1937</v>
      </c>
      <c r="F124" s="7" t="s">
        <v>1941</v>
      </c>
      <c r="G124" s="3" t="s">
        <v>50</v>
      </c>
      <c r="H124" s="3"/>
      <c r="I124" s="3"/>
      <c r="J124" s="3"/>
      <c r="K124" s="3"/>
      <c r="L124" s="3"/>
      <c r="M124" s="3"/>
      <c r="N124" s="3"/>
      <c r="O124" s="3"/>
      <c r="P124" s="3"/>
      <c r="Q124" s="3"/>
    </row>
    <row r="125" spans="1:17" ht="60" customHeight="1" x14ac:dyDescent="0.25">
      <c r="A125" s="9">
        <f>IF(F125="","",ROW()-19-COUNTBLANK($F$20:F125))</f>
        <v>97</v>
      </c>
      <c r="B125" s="19"/>
      <c r="C125" s="4" t="s">
        <v>1942</v>
      </c>
      <c r="D125" s="4" t="s">
        <v>1943</v>
      </c>
      <c r="E125" s="7" t="s">
        <v>1937</v>
      </c>
      <c r="F125" s="7" t="s">
        <v>1944</v>
      </c>
      <c r="G125" s="3" t="s">
        <v>50</v>
      </c>
      <c r="H125" s="3"/>
      <c r="I125" s="3"/>
      <c r="J125" s="3"/>
      <c r="K125" s="3"/>
      <c r="L125" s="3"/>
      <c r="M125" s="3"/>
      <c r="N125" s="3"/>
      <c r="O125" s="3"/>
      <c r="P125" s="3"/>
      <c r="Q125" s="3"/>
    </row>
    <row r="126" spans="1:17" ht="60" customHeight="1" x14ac:dyDescent="0.25">
      <c r="A126" s="9">
        <f>IF(F126="","",ROW()-19-COUNTBLANK($F$20:F126))</f>
        <v>98</v>
      </c>
      <c r="B126" s="17" t="s">
        <v>1945</v>
      </c>
      <c r="C126" s="4" t="s">
        <v>1946</v>
      </c>
      <c r="D126" s="4" t="s">
        <v>1947</v>
      </c>
      <c r="E126" s="7" t="s">
        <v>1948</v>
      </c>
      <c r="F126" s="7" t="s">
        <v>1949</v>
      </c>
      <c r="G126" s="3" t="s">
        <v>55</v>
      </c>
      <c r="H126" s="3"/>
      <c r="I126" s="3"/>
      <c r="J126" s="3"/>
      <c r="K126" s="3"/>
      <c r="L126" s="3"/>
      <c r="M126" s="3"/>
      <c r="N126" s="3"/>
      <c r="O126" s="3"/>
      <c r="P126" s="3"/>
      <c r="Q126" s="3"/>
    </row>
    <row r="127" spans="1:17" ht="60" customHeight="1" x14ac:dyDescent="0.25">
      <c r="A127" s="9">
        <f>IF(F127="","",ROW()-19-COUNTBLANK($F$20:F127))</f>
        <v>99</v>
      </c>
      <c r="B127" s="19"/>
      <c r="C127" s="4" t="s">
        <v>1950</v>
      </c>
      <c r="D127" s="4" t="s">
        <v>1951</v>
      </c>
      <c r="E127" s="7" t="s">
        <v>1952</v>
      </c>
      <c r="F127" s="7" t="s">
        <v>1953</v>
      </c>
      <c r="G127" s="3" t="s">
        <v>55</v>
      </c>
      <c r="H127" s="3"/>
      <c r="I127" s="3"/>
      <c r="J127" s="3"/>
      <c r="K127" s="3"/>
      <c r="L127" s="3"/>
      <c r="M127" s="3"/>
      <c r="N127" s="3"/>
      <c r="O127" s="3"/>
      <c r="P127" s="3"/>
      <c r="Q127" s="3"/>
    </row>
    <row r="128" spans="1:17" ht="60" customHeight="1" x14ac:dyDescent="0.25">
      <c r="A128" s="9">
        <f>IF(F128="","",ROW()-19-COUNTBLANK($F$20:F128))</f>
        <v>100</v>
      </c>
      <c r="B128" s="17" t="s">
        <v>1954</v>
      </c>
      <c r="C128" s="4" t="s">
        <v>1935</v>
      </c>
      <c r="D128" s="4" t="s">
        <v>1936</v>
      </c>
      <c r="E128" s="7" t="s">
        <v>1955</v>
      </c>
      <c r="F128" s="7" t="s">
        <v>1938</v>
      </c>
      <c r="G128" s="3" t="s">
        <v>55</v>
      </c>
      <c r="H128" s="3"/>
      <c r="I128" s="3"/>
      <c r="J128" s="3"/>
      <c r="K128" s="3"/>
      <c r="L128" s="3"/>
      <c r="M128" s="3"/>
      <c r="N128" s="3"/>
      <c r="O128" s="3"/>
      <c r="P128" s="3"/>
      <c r="Q128" s="3"/>
    </row>
    <row r="129" spans="1:17" ht="60" customHeight="1" x14ac:dyDescent="0.25">
      <c r="A129" s="9">
        <f>IF(F129="","",ROW()-19-COUNTBLANK($F$20:F129))</f>
        <v>101</v>
      </c>
      <c r="B129" s="18"/>
      <c r="C129" s="4" t="s">
        <v>1939</v>
      </c>
      <c r="D129" s="4" t="s">
        <v>1940</v>
      </c>
      <c r="E129" s="7" t="s">
        <v>1955</v>
      </c>
      <c r="F129" s="7" t="s">
        <v>1956</v>
      </c>
      <c r="G129" s="3" t="s">
        <v>50</v>
      </c>
      <c r="H129" s="3"/>
      <c r="I129" s="3"/>
      <c r="J129" s="3"/>
      <c r="K129" s="3"/>
      <c r="L129" s="3"/>
      <c r="M129" s="3"/>
      <c r="N129" s="3"/>
      <c r="O129" s="3"/>
      <c r="P129" s="3"/>
      <c r="Q129" s="3"/>
    </row>
    <row r="130" spans="1:17" ht="60" customHeight="1" x14ac:dyDescent="0.25">
      <c r="A130" s="9">
        <f>IF(F130="","",ROW()-19-COUNTBLANK($F$20:F130))</f>
        <v>102</v>
      </c>
      <c r="B130" s="19"/>
      <c r="C130" s="4" t="s">
        <v>1942</v>
      </c>
      <c r="D130" s="4" t="s">
        <v>1943</v>
      </c>
      <c r="E130" s="7" t="s">
        <v>1955</v>
      </c>
      <c r="F130" s="7" t="s">
        <v>1957</v>
      </c>
      <c r="G130" s="3" t="s">
        <v>50</v>
      </c>
      <c r="H130" s="3"/>
      <c r="I130" s="3"/>
      <c r="J130" s="3"/>
      <c r="K130" s="3"/>
      <c r="L130" s="3"/>
      <c r="M130" s="3"/>
      <c r="N130" s="3"/>
      <c r="O130" s="3"/>
      <c r="P130" s="3"/>
      <c r="Q130" s="3"/>
    </row>
    <row r="131" spans="1:17" ht="60" customHeight="1" x14ac:dyDescent="0.25">
      <c r="A131" s="9">
        <f>IF(F131="","",ROW()-19-COUNTBLANK($F$20:F131))</f>
        <v>103</v>
      </c>
      <c r="B131" s="17" t="s">
        <v>1958</v>
      </c>
      <c r="C131" s="4" t="s">
        <v>1959</v>
      </c>
      <c r="D131" s="4" t="s">
        <v>1960</v>
      </c>
      <c r="E131" s="7" t="s">
        <v>1961</v>
      </c>
      <c r="F131" s="7" t="s">
        <v>1962</v>
      </c>
      <c r="G131" s="3" t="s">
        <v>55</v>
      </c>
      <c r="H131" s="3"/>
      <c r="I131" s="3"/>
      <c r="J131" s="3"/>
      <c r="K131" s="3"/>
      <c r="L131" s="3"/>
      <c r="M131" s="3"/>
      <c r="N131" s="3"/>
      <c r="O131" s="3"/>
      <c r="P131" s="3"/>
      <c r="Q131" s="3"/>
    </row>
    <row r="132" spans="1:17" ht="60" customHeight="1" x14ac:dyDescent="0.25">
      <c r="A132" s="9">
        <f>IF(F132="","",ROW()-19-COUNTBLANK($F$20:F132))</f>
        <v>104</v>
      </c>
      <c r="B132" s="18"/>
      <c r="C132" s="4" t="s">
        <v>1963</v>
      </c>
      <c r="D132" s="4" t="s">
        <v>1964</v>
      </c>
      <c r="E132" s="7" t="s">
        <v>1965</v>
      </c>
      <c r="F132" s="7" t="s">
        <v>1966</v>
      </c>
      <c r="G132" s="3" t="s">
        <v>55</v>
      </c>
      <c r="H132" s="3"/>
      <c r="I132" s="3"/>
      <c r="J132" s="3"/>
      <c r="K132" s="3"/>
      <c r="L132" s="3"/>
      <c r="M132" s="3"/>
      <c r="N132" s="3"/>
      <c r="O132" s="3"/>
      <c r="P132" s="3"/>
      <c r="Q132" s="3"/>
    </row>
    <row r="133" spans="1:17" ht="60" customHeight="1" x14ac:dyDescent="0.25">
      <c r="A133" s="9">
        <f>IF(F133="","",ROW()-19-COUNTBLANK($F$20:F133))</f>
        <v>105</v>
      </c>
      <c r="B133" s="19"/>
      <c r="C133" s="4" t="s">
        <v>1967</v>
      </c>
      <c r="D133" s="4" t="s">
        <v>1968</v>
      </c>
      <c r="E133" s="7" t="s">
        <v>1969</v>
      </c>
      <c r="F133" s="7" t="s">
        <v>1970</v>
      </c>
      <c r="G133" s="3" t="s">
        <v>55</v>
      </c>
      <c r="H133" s="3"/>
      <c r="I133" s="3"/>
      <c r="J133" s="3"/>
      <c r="K133" s="3"/>
      <c r="L133" s="3"/>
      <c r="M133" s="3"/>
      <c r="N133" s="3"/>
      <c r="O133" s="3"/>
      <c r="P133" s="3"/>
      <c r="Q133" s="3"/>
    </row>
    <row r="134" spans="1:17" ht="60" customHeight="1" x14ac:dyDescent="0.25">
      <c r="A134" s="9">
        <f>IF(F134="","",ROW()-19-COUNTBLANK($F$20:F134))</f>
        <v>106</v>
      </c>
      <c r="B134" s="17" t="s">
        <v>1971</v>
      </c>
      <c r="C134" s="4" t="s">
        <v>1935</v>
      </c>
      <c r="D134" s="4" t="s">
        <v>1936</v>
      </c>
      <c r="E134" s="7" t="s">
        <v>1972</v>
      </c>
      <c r="F134" s="7" t="s">
        <v>1938</v>
      </c>
      <c r="G134" s="3" t="s">
        <v>55</v>
      </c>
      <c r="H134" s="3"/>
      <c r="I134" s="3"/>
      <c r="J134" s="3"/>
      <c r="K134" s="3"/>
      <c r="L134" s="3"/>
      <c r="M134" s="3"/>
      <c r="N134" s="3"/>
      <c r="O134" s="3"/>
      <c r="P134" s="3"/>
      <c r="Q134" s="3"/>
    </row>
    <row r="135" spans="1:17" ht="60" customHeight="1" x14ac:dyDescent="0.25">
      <c r="A135" s="9">
        <f>IF(F135="","",ROW()-19-COUNTBLANK($F$20:F135))</f>
        <v>107</v>
      </c>
      <c r="B135" s="18"/>
      <c r="C135" s="4" t="s">
        <v>1939</v>
      </c>
      <c r="D135" s="4" t="s">
        <v>1940</v>
      </c>
      <c r="E135" s="7" t="s">
        <v>1972</v>
      </c>
      <c r="F135" s="7" t="s">
        <v>1973</v>
      </c>
      <c r="G135" s="3" t="s">
        <v>50</v>
      </c>
      <c r="H135" s="3"/>
      <c r="I135" s="3"/>
      <c r="J135" s="3"/>
      <c r="K135" s="3"/>
      <c r="L135" s="3"/>
      <c r="M135" s="3"/>
      <c r="N135" s="3"/>
      <c r="O135" s="3"/>
      <c r="P135" s="3"/>
      <c r="Q135" s="3"/>
    </row>
    <row r="136" spans="1:17" ht="60" customHeight="1" x14ac:dyDescent="0.25">
      <c r="A136" s="9">
        <f>IF(F136="","",ROW()-19-COUNTBLANK($F$20:F136))</f>
        <v>108</v>
      </c>
      <c r="B136" s="19"/>
      <c r="C136" s="4" t="s">
        <v>1942</v>
      </c>
      <c r="D136" s="4" t="s">
        <v>1943</v>
      </c>
      <c r="E136" s="7" t="s">
        <v>1972</v>
      </c>
      <c r="F136" s="7" t="s">
        <v>1974</v>
      </c>
      <c r="G136" s="3" t="s">
        <v>50</v>
      </c>
      <c r="H136" s="3"/>
      <c r="I136" s="3"/>
      <c r="J136" s="3"/>
      <c r="K136" s="3"/>
      <c r="L136" s="3"/>
      <c r="M136" s="3"/>
      <c r="N136" s="3"/>
      <c r="O136" s="3"/>
      <c r="P136" s="3"/>
      <c r="Q136" s="3"/>
    </row>
    <row r="137" spans="1:17" ht="60" customHeight="1" x14ac:dyDescent="0.25">
      <c r="A137" s="9">
        <f>IF(F137="","",ROW()-19-COUNTBLANK($F$20:F137))</f>
        <v>109</v>
      </c>
      <c r="B137" s="17" t="s">
        <v>1975</v>
      </c>
      <c r="C137" s="4" t="s">
        <v>1976</v>
      </c>
      <c r="D137" s="4" t="s">
        <v>1977</v>
      </c>
      <c r="E137" s="7" t="s">
        <v>1978</v>
      </c>
      <c r="F137" s="7" t="s">
        <v>1979</v>
      </c>
      <c r="G137" s="3" t="s">
        <v>55</v>
      </c>
      <c r="H137" s="3"/>
      <c r="I137" s="3"/>
      <c r="J137" s="3"/>
      <c r="K137" s="3"/>
      <c r="L137" s="3"/>
      <c r="M137" s="3"/>
      <c r="N137" s="3"/>
      <c r="O137" s="3"/>
      <c r="P137" s="3"/>
      <c r="Q137" s="3"/>
    </row>
    <row r="138" spans="1:17" ht="60" customHeight="1" x14ac:dyDescent="0.25">
      <c r="A138" s="9">
        <f>IF(F138="","",ROW()-19-COUNTBLANK($F$20:F138))</f>
        <v>110</v>
      </c>
      <c r="B138" s="18"/>
      <c r="C138" s="4" t="s">
        <v>1980</v>
      </c>
      <c r="D138" s="4" t="s">
        <v>1981</v>
      </c>
      <c r="E138" s="7" t="s">
        <v>1982</v>
      </c>
      <c r="F138" s="7" t="s">
        <v>1983</v>
      </c>
      <c r="G138" s="3" t="s">
        <v>55</v>
      </c>
      <c r="H138" s="3"/>
      <c r="I138" s="3"/>
      <c r="J138" s="3"/>
      <c r="K138" s="3"/>
      <c r="L138" s="3"/>
      <c r="M138" s="3"/>
      <c r="N138" s="3"/>
      <c r="O138" s="3"/>
      <c r="P138" s="3"/>
      <c r="Q138" s="3"/>
    </row>
    <row r="139" spans="1:17" ht="60" customHeight="1" x14ac:dyDescent="0.25">
      <c r="A139" s="9">
        <f>IF(F139="","",ROW()-19-COUNTBLANK($F$20:F139))</f>
        <v>111</v>
      </c>
      <c r="B139" s="19"/>
      <c r="C139" s="4" t="s">
        <v>1984</v>
      </c>
      <c r="D139" s="4" t="s">
        <v>1985</v>
      </c>
      <c r="E139" s="7" t="s">
        <v>1986</v>
      </c>
      <c r="F139" s="7" t="s">
        <v>1987</v>
      </c>
      <c r="G139" s="3" t="s">
        <v>55</v>
      </c>
      <c r="H139" s="3"/>
      <c r="I139" s="3"/>
      <c r="J139" s="3"/>
      <c r="K139" s="3"/>
      <c r="L139" s="3"/>
      <c r="M139" s="3"/>
      <c r="N139" s="3"/>
      <c r="O139" s="3"/>
      <c r="P139" s="3"/>
      <c r="Q139" s="3"/>
    </row>
    <row r="140" spans="1:17" ht="20.100000000000001" customHeight="1" x14ac:dyDescent="0.25">
      <c r="A140" s="9" t="str">
        <f>IF(F140="","",ROW()-19-COUNTBLANK($F$20:F140))</f>
        <v/>
      </c>
      <c r="B140" s="12" t="s">
        <v>1988</v>
      </c>
      <c r="C140" s="12"/>
      <c r="D140" s="12"/>
      <c r="E140" s="12"/>
      <c r="F140" s="12"/>
      <c r="G140" s="12"/>
      <c r="H140" s="12"/>
      <c r="I140" s="12"/>
      <c r="J140" s="12"/>
      <c r="K140" s="12"/>
      <c r="L140" s="12"/>
      <c r="M140" s="12"/>
      <c r="N140" s="12"/>
      <c r="O140" s="12"/>
      <c r="P140" s="12"/>
      <c r="Q140" s="12"/>
    </row>
    <row r="141" spans="1:17" ht="20.100000000000001" customHeight="1" x14ac:dyDescent="0.25">
      <c r="A141" s="9" t="str">
        <f>IF(F141="","",ROW()-19-COUNTBLANK($F$20:F141))</f>
        <v/>
      </c>
      <c r="B141" s="12" t="s">
        <v>1060</v>
      </c>
      <c r="C141" s="12"/>
      <c r="D141" s="12"/>
      <c r="E141" s="12"/>
      <c r="F141" s="12"/>
      <c r="G141" s="12"/>
      <c r="H141" s="12"/>
      <c r="I141" s="12"/>
      <c r="J141" s="12"/>
      <c r="K141" s="12"/>
      <c r="L141" s="12"/>
      <c r="M141" s="12"/>
      <c r="N141" s="12"/>
      <c r="O141" s="12"/>
      <c r="P141" s="12"/>
      <c r="Q141" s="12"/>
    </row>
    <row r="142" spans="1:17" ht="60" customHeight="1" x14ac:dyDescent="0.25">
      <c r="A142" s="9">
        <f>IF(F142="","",ROW()-19-COUNTBLANK($F$20:F142))</f>
        <v>112</v>
      </c>
      <c r="B142" s="4" t="s">
        <v>216</v>
      </c>
      <c r="C142" s="4" t="s">
        <v>1061</v>
      </c>
      <c r="D142" s="4"/>
      <c r="E142" s="7" t="s">
        <v>1989</v>
      </c>
      <c r="F142" s="7" t="s">
        <v>1990</v>
      </c>
      <c r="G142" s="3" t="s">
        <v>55</v>
      </c>
      <c r="H142" s="3"/>
      <c r="I142" s="3"/>
      <c r="J142" s="3"/>
      <c r="K142" s="3"/>
      <c r="L142" s="3"/>
      <c r="M142" s="3"/>
      <c r="N142" s="3"/>
      <c r="O142" s="3"/>
      <c r="P142" s="3"/>
      <c r="Q142" s="3"/>
    </row>
    <row r="143" spans="1:17" ht="60" customHeight="1" x14ac:dyDescent="0.25">
      <c r="A143" s="9">
        <f>IF(F143="","",ROW()-19-COUNTBLANK($F$20:F143))</f>
        <v>113</v>
      </c>
      <c r="B143" s="4" t="s">
        <v>1064</v>
      </c>
      <c r="C143" s="4" t="s">
        <v>1065</v>
      </c>
      <c r="D143" s="4"/>
      <c r="E143" s="7" t="s">
        <v>1991</v>
      </c>
      <c r="F143" s="7" t="s">
        <v>1067</v>
      </c>
      <c r="G143" s="3" t="s">
        <v>55</v>
      </c>
      <c r="H143" s="3"/>
      <c r="I143" s="3"/>
      <c r="J143" s="3"/>
      <c r="K143" s="3"/>
      <c r="L143" s="3"/>
      <c r="M143" s="3"/>
      <c r="N143" s="3"/>
      <c r="O143" s="3"/>
      <c r="P143" s="3"/>
      <c r="Q143" s="3"/>
    </row>
    <row r="144" spans="1:17" ht="60" customHeight="1" x14ac:dyDescent="0.25">
      <c r="A144" s="9">
        <f>IF(F144="","",ROW()-19-COUNTBLANK($F$20:F144))</f>
        <v>114</v>
      </c>
      <c r="B144" s="4" t="s">
        <v>1068</v>
      </c>
      <c r="C144" s="4" t="s">
        <v>1069</v>
      </c>
      <c r="D144" s="4"/>
      <c r="E144" s="7" t="s">
        <v>1992</v>
      </c>
      <c r="F144" s="7" t="s">
        <v>1071</v>
      </c>
      <c r="G144" s="3" t="s">
        <v>73</v>
      </c>
      <c r="H144" s="3"/>
      <c r="I144" s="3"/>
      <c r="J144" s="3"/>
      <c r="K144" s="3"/>
      <c r="L144" s="3"/>
      <c r="M144" s="3"/>
      <c r="N144" s="3"/>
      <c r="O144" s="3"/>
      <c r="P144" s="3"/>
      <c r="Q144" s="3"/>
    </row>
    <row r="145" spans="1:17" ht="60" customHeight="1" x14ac:dyDescent="0.25">
      <c r="A145" s="9">
        <f>IF(F145="","",ROW()-19-COUNTBLANK($F$20:F145))</f>
        <v>115</v>
      </c>
      <c r="B145" s="4" t="s">
        <v>1072</v>
      </c>
      <c r="C145" s="4" t="s">
        <v>1073</v>
      </c>
      <c r="D145" s="4"/>
      <c r="E145" s="7" t="s">
        <v>1989</v>
      </c>
      <c r="F145" s="7" t="s">
        <v>1074</v>
      </c>
      <c r="G145" s="3" t="s">
        <v>73</v>
      </c>
      <c r="H145" s="3"/>
      <c r="I145" s="3"/>
      <c r="J145" s="3"/>
      <c r="K145" s="3"/>
      <c r="L145" s="3"/>
      <c r="M145" s="3"/>
      <c r="N145" s="3"/>
      <c r="O145" s="3"/>
      <c r="P145" s="3"/>
      <c r="Q145" s="3"/>
    </row>
    <row r="146" spans="1:17" ht="20.100000000000001" customHeight="1" x14ac:dyDescent="0.25">
      <c r="A146" s="9" t="str">
        <f>IF(F146="","",ROW()-19-COUNTBLANK($F$20:F146))</f>
        <v/>
      </c>
      <c r="B146" s="12" t="s">
        <v>1993</v>
      </c>
      <c r="C146" s="12"/>
      <c r="D146" s="12"/>
      <c r="E146" s="12"/>
      <c r="F146" s="12"/>
      <c r="G146" s="12"/>
      <c r="H146" s="12"/>
      <c r="I146" s="12"/>
      <c r="J146" s="12"/>
      <c r="K146" s="12"/>
      <c r="L146" s="12"/>
      <c r="M146" s="12"/>
      <c r="N146" s="12"/>
      <c r="O146" s="12"/>
      <c r="P146" s="12"/>
      <c r="Q146" s="12"/>
    </row>
    <row r="147" spans="1:17" ht="60" customHeight="1" x14ac:dyDescent="0.25">
      <c r="A147" s="9">
        <f>IF(F147="","",ROW()-19-COUNTBLANK($F$20:F147))</f>
        <v>116</v>
      </c>
      <c r="B147" s="4" t="s">
        <v>216</v>
      </c>
      <c r="C147" s="4" t="s">
        <v>1994</v>
      </c>
      <c r="D147" s="4"/>
      <c r="E147" s="7" t="s">
        <v>1995</v>
      </c>
      <c r="F147" s="7" t="s">
        <v>1996</v>
      </c>
      <c r="G147" s="3" t="s">
        <v>55</v>
      </c>
      <c r="H147" s="3"/>
      <c r="I147" s="3"/>
      <c r="J147" s="3"/>
      <c r="K147" s="3"/>
      <c r="L147" s="3"/>
      <c r="M147" s="3"/>
      <c r="N147" s="3"/>
      <c r="O147" s="3"/>
      <c r="P147" s="3"/>
      <c r="Q147" s="3"/>
    </row>
    <row r="148" spans="1:17" ht="60" customHeight="1" x14ac:dyDescent="0.25">
      <c r="A148" s="9">
        <f>IF(F148="","",ROW()-19-COUNTBLANK($F$20:F148))</f>
        <v>117</v>
      </c>
      <c r="B148" s="4" t="s">
        <v>1064</v>
      </c>
      <c r="C148" s="4" t="s">
        <v>1997</v>
      </c>
      <c r="D148" s="4"/>
      <c r="E148" s="7" t="s">
        <v>1998</v>
      </c>
      <c r="F148" s="7" t="s">
        <v>1067</v>
      </c>
      <c r="G148" s="3" t="s">
        <v>55</v>
      </c>
      <c r="H148" s="3"/>
      <c r="I148" s="3"/>
      <c r="J148" s="3"/>
      <c r="K148" s="3"/>
      <c r="L148" s="3"/>
      <c r="M148" s="3"/>
      <c r="N148" s="3"/>
      <c r="O148" s="3"/>
      <c r="P148" s="3"/>
      <c r="Q148" s="3"/>
    </row>
    <row r="149" spans="1:17" ht="60" customHeight="1" x14ac:dyDescent="0.25">
      <c r="A149" s="9">
        <f>IF(F149="","",ROW()-19-COUNTBLANK($F$20:F149))</f>
        <v>118</v>
      </c>
      <c r="B149" s="4" t="s">
        <v>1068</v>
      </c>
      <c r="C149" s="4" t="s">
        <v>1999</v>
      </c>
      <c r="D149" s="4"/>
      <c r="E149" s="7" t="s">
        <v>2000</v>
      </c>
      <c r="F149" s="7" t="s">
        <v>2001</v>
      </c>
      <c r="G149" s="3" t="s">
        <v>73</v>
      </c>
      <c r="H149" s="3"/>
      <c r="I149" s="3"/>
      <c r="J149" s="3"/>
      <c r="K149" s="3"/>
      <c r="L149" s="3"/>
      <c r="M149" s="3"/>
      <c r="N149" s="3"/>
      <c r="O149" s="3"/>
      <c r="P149" s="3"/>
      <c r="Q149" s="3"/>
    </row>
    <row r="150" spans="1:17" ht="60" customHeight="1" x14ac:dyDescent="0.25">
      <c r="A150" s="9">
        <f>IF(F150="","",ROW()-19-COUNTBLANK($F$20:F150))</f>
        <v>119</v>
      </c>
      <c r="B150" s="4" t="s">
        <v>1072</v>
      </c>
      <c r="C150" s="4" t="s">
        <v>2002</v>
      </c>
      <c r="D150" s="4"/>
      <c r="E150" s="7" t="s">
        <v>1995</v>
      </c>
      <c r="F150" s="7" t="s">
        <v>1074</v>
      </c>
      <c r="G150" s="3" t="s">
        <v>73</v>
      </c>
      <c r="H150" s="3"/>
      <c r="I150" s="3"/>
      <c r="J150" s="3"/>
      <c r="K150" s="3"/>
      <c r="L150" s="3"/>
      <c r="M150" s="3"/>
      <c r="N150" s="3"/>
      <c r="O150" s="3"/>
      <c r="P150" s="3"/>
      <c r="Q150" s="3"/>
    </row>
    <row r="151" spans="1:17" ht="20.100000000000001" customHeight="1" x14ac:dyDescent="0.25">
      <c r="A151" s="9" t="str">
        <f>IF(F151="","",ROW()-19-COUNTBLANK($F$20:F151))</f>
        <v/>
      </c>
      <c r="B151" s="12" t="s">
        <v>1195</v>
      </c>
      <c r="C151" s="12"/>
      <c r="D151" s="12"/>
      <c r="E151" s="12"/>
      <c r="F151" s="12"/>
      <c r="G151" s="12"/>
      <c r="H151" s="12"/>
      <c r="I151" s="12"/>
      <c r="J151" s="12"/>
      <c r="K151" s="12"/>
      <c r="L151" s="12"/>
      <c r="M151" s="12"/>
      <c r="N151" s="12"/>
      <c r="O151" s="12"/>
      <c r="P151" s="12"/>
      <c r="Q151" s="12"/>
    </row>
    <row r="152" spans="1:17" ht="60" customHeight="1" x14ac:dyDescent="0.25">
      <c r="A152" s="9">
        <f>IF(F152="","",ROW()-19-COUNTBLANK($F$20:F152))</f>
        <v>120</v>
      </c>
      <c r="B152" s="4" t="s">
        <v>216</v>
      </c>
      <c r="C152" s="4" t="s">
        <v>1196</v>
      </c>
      <c r="D152" s="4"/>
      <c r="E152" s="7" t="s">
        <v>2003</v>
      </c>
      <c r="F152" s="7" t="s">
        <v>2004</v>
      </c>
      <c r="G152" s="3" t="s">
        <v>55</v>
      </c>
      <c r="H152" s="3"/>
      <c r="I152" s="3"/>
      <c r="J152" s="3"/>
      <c r="K152" s="3"/>
      <c r="L152" s="3"/>
      <c r="M152" s="3"/>
      <c r="N152" s="3"/>
      <c r="O152" s="3"/>
      <c r="P152" s="3"/>
      <c r="Q152" s="3"/>
    </row>
    <row r="153" spans="1:17" ht="60" customHeight="1" x14ac:dyDescent="0.25">
      <c r="A153" s="9">
        <f>IF(F153="","",ROW()-19-COUNTBLANK($F$20:F153))</f>
        <v>121</v>
      </c>
      <c r="B153" s="4" t="s">
        <v>1064</v>
      </c>
      <c r="C153" s="4" t="s">
        <v>1199</v>
      </c>
      <c r="D153" s="4"/>
      <c r="E153" s="7" t="s">
        <v>2005</v>
      </c>
      <c r="F153" s="7" t="s">
        <v>1067</v>
      </c>
      <c r="G153" s="3" t="s">
        <v>55</v>
      </c>
      <c r="H153" s="3"/>
      <c r="I153" s="3"/>
      <c r="J153" s="3"/>
      <c r="K153" s="3"/>
      <c r="L153" s="3"/>
      <c r="M153" s="3"/>
      <c r="N153" s="3"/>
      <c r="O153" s="3"/>
      <c r="P153" s="3"/>
      <c r="Q153" s="3"/>
    </row>
    <row r="154" spans="1:17" ht="60" customHeight="1" x14ac:dyDescent="0.25">
      <c r="A154" s="9">
        <f>IF(F154="","",ROW()-19-COUNTBLANK($F$20:F154))</f>
        <v>122</v>
      </c>
      <c r="B154" s="4" t="s">
        <v>1068</v>
      </c>
      <c r="C154" s="4" t="s">
        <v>2006</v>
      </c>
      <c r="D154" s="4"/>
      <c r="E154" s="7" t="s">
        <v>2007</v>
      </c>
      <c r="F154" s="7" t="s">
        <v>2008</v>
      </c>
      <c r="G154" s="3" t="s">
        <v>73</v>
      </c>
      <c r="H154" s="3"/>
      <c r="I154" s="3"/>
      <c r="J154" s="3"/>
      <c r="K154" s="3"/>
      <c r="L154" s="3"/>
      <c r="M154" s="3"/>
      <c r="N154" s="3"/>
      <c r="O154" s="3"/>
      <c r="P154" s="3"/>
      <c r="Q154" s="3"/>
    </row>
    <row r="155" spans="1:17" ht="60" customHeight="1" x14ac:dyDescent="0.25">
      <c r="A155" s="9">
        <f>IF(F155="","",ROW()-19-COUNTBLANK($F$20:F155))</f>
        <v>123</v>
      </c>
      <c r="B155" s="4" t="s">
        <v>1072</v>
      </c>
      <c r="C155" s="4" t="s">
        <v>1203</v>
      </c>
      <c r="D155" s="4"/>
      <c r="E155" s="7" t="s">
        <v>2003</v>
      </c>
      <c r="F155" s="7" t="s">
        <v>1095</v>
      </c>
      <c r="G155" s="3" t="s">
        <v>73</v>
      </c>
      <c r="H155" s="3"/>
      <c r="I155" s="3"/>
      <c r="J155" s="3"/>
      <c r="K155" s="3"/>
      <c r="L155" s="3"/>
      <c r="M155" s="3"/>
      <c r="N155" s="3"/>
      <c r="O155" s="3"/>
      <c r="P155" s="3"/>
      <c r="Q155" s="3"/>
    </row>
    <row r="156" spans="1:17" ht="20.100000000000001" customHeight="1" x14ac:dyDescent="0.25">
      <c r="A156" s="9" t="str">
        <f>IF(F156="","",ROW()-19-COUNTBLANK($F$20:F156))</f>
        <v/>
      </c>
      <c r="B156" s="12" t="s">
        <v>2009</v>
      </c>
      <c r="C156" s="12"/>
      <c r="D156" s="12"/>
      <c r="E156" s="12"/>
      <c r="F156" s="12"/>
      <c r="G156" s="12"/>
      <c r="H156" s="12"/>
      <c r="I156" s="12"/>
      <c r="J156" s="12"/>
      <c r="K156" s="12"/>
      <c r="L156" s="12"/>
      <c r="M156" s="12"/>
      <c r="N156" s="12"/>
      <c r="O156" s="12"/>
      <c r="P156" s="12"/>
      <c r="Q156" s="12"/>
    </row>
    <row r="157" spans="1:17" ht="60" customHeight="1" x14ac:dyDescent="0.25">
      <c r="A157" s="9">
        <f>IF(F157="","",ROW()-19-COUNTBLANK($F$20:F157))</f>
        <v>124</v>
      </c>
      <c r="B157" s="4" t="s">
        <v>216</v>
      </c>
      <c r="C157" s="4" t="s">
        <v>2010</v>
      </c>
      <c r="D157" s="4"/>
      <c r="E157" s="7" t="s">
        <v>2011</v>
      </c>
      <c r="F157" s="7" t="s">
        <v>2012</v>
      </c>
      <c r="G157" s="3" t="s">
        <v>55</v>
      </c>
      <c r="H157" s="3"/>
      <c r="I157" s="3"/>
      <c r="J157" s="3"/>
      <c r="K157" s="3"/>
      <c r="L157" s="3"/>
      <c r="M157" s="3"/>
      <c r="N157" s="3"/>
      <c r="O157" s="3"/>
      <c r="P157" s="3"/>
      <c r="Q157" s="3"/>
    </row>
    <row r="158" spans="1:17" ht="60" customHeight="1" x14ac:dyDescent="0.25">
      <c r="A158" s="9">
        <f>IF(F158="","",ROW()-19-COUNTBLANK($F$20:F158))</f>
        <v>125</v>
      </c>
      <c r="B158" s="4" t="s">
        <v>1064</v>
      </c>
      <c r="C158" s="4" t="s">
        <v>2013</v>
      </c>
      <c r="D158" s="4"/>
      <c r="E158" s="7" t="s">
        <v>2014</v>
      </c>
      <c r="F158" s="7" t="s">
        <v>1067</v>
      </c>
      <c r="G158" s="3" t="s">
        <v>55</v>
      </c>
      <c r="H158" s="3"/>
      <c r="I158" s="3"/>
      <c r="J158" s="3"/>
      <c r="K158" s="3"/>
      <c r="L158" s="3"/>
      <c r="M158" s="3"/>
      <c r="N158" s="3"/>
      <c r="O158" s="3"/>
      <c r="P158" s="3"/>
      <c r="Q158" s="3"/>
    </row>
    <row r="159" spans="1:17" ht="60" customHeight="1" x14ac:dyDescent="0.25">
      <c r="A159" s="9">
        <f>IF(F159="","",ROW()-19-COUNTBLANK($F$20:F159))</f>
        <v>126</v>
      </c>
      <c r="B159" s="4" t="s">
        <v>1068</v>
      </c>
      <c r="C159" s="4" t="s">
        <v>2015</v>
      </c>
      <c r="D159" s="4"/>
      <c r="E159" s="7" t="s">
        <v>2016</v>
      </c>
      <c r="F159" s="7" t="s">
        <v>2017</v>
      </c>
      <c r="G159" s="3" t="s">
        <v>73</v>
      </c>
      <c r="H159" s="3"/>
      <c r="I159" s="3"/>
      <c r="J159" s="3"/>
      <c r="K159" s="3"/>
      <c r="L159" s="3"/>
      <c r="M159" s="3"/>
      <c r="N159" s="3"/>
      <c r="O159" s="3"/>
      <c r="P159" s="3"/>
      <c r="Q159" s="3"/>
    </row>
    <row r="160" spans="1:17" ht="60" customHeight="1" x14ac:dyDescent="0.25">
      <c r="A160" s="9">
        <f>IF(F160="","",ROW()-19-COUNTBLANK($F$20:F160))</f>
        <v>127</v>
      </c>
      <c r="B160" s="4" t="s">
        <v>1072</v>
      </c>
      <c r="C160" s="4" t="s">
        <v>2018</v>
      </c>
      <c r="D160" s="4"/>
      <c r="E160" s="7" t="s">
        <v>2011</v>
      </c>
      <c r="F160" s="7" t="s">
        <v>1095</v>
      </c>
      <c r="G160" s="3" t="s">
        <v>73</v>
      </c>
      <c r="H160" s="3"/>
      <c r="I160" s="3"/>
      <c r="J160" s="3"/>
      <c r="K160" s="3"/>
      <c r="L160" s="3"/>
      <c r="M160" s="3"/>
      <c r="N160" s="3"/>
      <c r="O160" s="3"/>
      <c r="P160" s="3"/>
      <c r="Q160" s="3"/>
    </row>
    <row r="161" spans="1:17" ht="20.100000000000001" customHeight="1" x14ac:dyDescent="0.25">
      <c r="A161" s="9" t="str">
        <f>IF(F161="","",ROW()-19-COUNTBLANK($F$20:F161))</f>
        <v/>
      </c>
      <c r="B161" s="12" t="s">
        <v>2019</v>
      </c>
      <c r="C161" s="12"/>
      <c r="D161" s="12"/>
      <c r="E161" s="12"/>
      <c r="F161" s="12"/>
      <c r="G161" s="12"/>
      <c r="H161" s="12"/>
      <c r="I161" s="12"/>
      <c r="J161" s="12"/>
      <c r="K161" s="12"/>
      <c r="L161" s="12"/>
      <c r="M161" s="12"/>
      <c r="N161" s="12"/>
      <c r="O161" s="12"/>
      <c r="P161" s="12"/>
      <c r="Q161" s="12"/>
    </row>
    <row r="162" spans="1:17" ht="60" customHeight="1" x14ac:dyDescent="0.25">
      <c r="A162" s="9">
        <f>IF(F162="","",ROW()-19-COUNTBLANK($F$20:F162))</f>
        <v>128</v>
      </c>
      <c r="B162" s="4" t="s">
        <v>216</v>
      </c>
      <c r="C162" s="4" t="s">
        <v>2020</v>
      </c>
      <c r="D162" s="4"/>
      <c r="E162" s="7" t="s">
        <v>2021</v>
      </c>
      <c r="F162" s="7" t="s">
        <v>2022</v>
      </c>
      <c r="G162" s="3" t="s">
        <v>55</v>
      </c>
      <c r="H162" s="3"/>
      <c r="I162" s="3"/>
      <c r="J162" s="3"/>
      <c r="K162" s="3"/>
      <c r="L162" s="3"/>
      <c r="M162" s="3"/>
      <c r="N162" s="3"/>
      <c r="O162" s="3"/>
      <c r="P162" s="3"/>
      <c r="Q162" s="3"/>
    </row>
    <row r="163" spans="1:17" ht="60" customHeight="1" x14ac:dyDescent="0.25">
      <c r="A163" s="9">
        <f>IF(F163="","",ROW()-19-COUNTBLANK($F$20:F163))</f>
        <v>129</v>
      </c>
      <c r="B163" s="4" t="s">
        <v>1064</v>
      </c>
      <c r="C163" s="4" t="s">
        <v>2023</v>
      </c>
      <c r="D163" s="4"/>
      <c r="E163" s="7" t="s">
        <v>2024</v>
      </c>
      <c r="F163" s="7" t="s">
        <v>1067</v>
      </c>
      <c r="G163" s="3" t="s">
        <v>55</v>
      </c>
      <c r="H163" s="3"/>
      <c r="I163" s="3"/>
      <c r="J163" s="3"/>
      <c r="K163" s="3"/>
      <c r="L163" s="3"/>
      <c r="M163" s="3"/>
      <c r="N163" s="3"/>
      <c r="O163" s="3"/>
      <c r="P163" s="3"/>
      <c r="Q163" s="3"/>
    </row>
    <row r="164" spans="1:17" ht="60" customHeight="1" x14ac:dyDescent="0.25">
      <c r="A164" s="9">
        <f>IF(F164="","",ROW()-19-COUNTBLANK($F$20:F164))</f>
        <v>130</v>
      </c>
      <c r="B164" s="4" t="s">
        <v>1068</v>
      </c>
      <c r="C164" s="4" t="s">
        <v>2025</v>
      </c>
      <c r="D164" s="4"/>
      <c r="E164" s="7" t="s">
        <v>2026</v>
      </c>
      <c r="F164" s="7" t="s">
        <v>2027</v>
      </c>
      <c r="G164" s="3" t="s">
        <v>73</v>
      </c>
      <c r="H164" s="3"/>
      <c r="I164" s="3"/>
      <c r="J164" s="3"/>
      <c r="K164" s="3"/>
      <c r="L164" s="3"/>
      <c r="M164" s="3"/>
      <c r="N164" s="3"/>
      <c r="O164" s="3"/>
      <c r="P164" s="3"/>
      <c r="Q164" s="3"/>
    </row>
    <row r="165" spans="1:17" ht="60" customHeight="1" x14ac:dyDescent="0.25">
      <c r="A165" s="9">
        <f>IF(F165="","",ROW()-19-COUNTBLANK($F$20:F165))</f>
        <v>131</v>
      </c>
      <c r="B165" s="4" t="s">
        <v>1072</v>
      </c>
      <c r="C165" s="4" t="s">
        <v>2028</v>
      </c>
      <c r="D165" s="4"/>
      <c r="E165" s="7" t="s">
        <v>2021</v>
      </c>
      <c r="F165" s="7" t="s">
        <v>1095</v>
      </c>
      <c r="G165" s="3" t="s">
        <v>73</v>
      </c>
      <c r="H165" s="3"/>
      <c r="I165" s="3"/>
      <c r="J165" s="3"/>
      <c r="K165" s="3"/>
      <c r="L165" s="3"/>
      <c r="M165" s="3"/>
      <c r="N165" s="3"/>
      <c r="O165" s="3"/>
      <c r="P165" s="3"/>
      <c r="Q165" s="3"/>
    </row>
    <row r="166" spans="1:17" ht="20.100000000000001" customHeight="1" x14ac:dyDescent="0.25">
      <c r="A166" s="9" t="str">
        <f>IF(F166="","",ROW()-19-COUNTBLANK($F$20:F166))</f>
        <v/>
      </c>
      <c r="B166" s="12" t="s">
        <v>2029</v>
      </c>
      <c r="C166" s="12"/>
      <c r="D166" s="12"/>
      <c r="E166" s="12"/>
      <c r="F166" s="12"/>
      <c r="G166" s="12"/>
      <c r="H166" s="12"/>
      <c r="I166" s="12"/>
      <c r="J166" s="12"/>
      <c r="K166" s="12"/>
      <c r="L166" s="12"/>
      <c r="M166" s="12"/>
      <c r="N166" s="12"/>
      <c r="O166" s="12"/>
      <c r="P166" s="12"/>
      <c r="Q166" s="12"/>
    </row>
    <row r="167" spans="1:17" ht="60" customHeight="1" x14ac:dyDescent="0.25">
      <c r="A167" s="9">
        <f>IF(F167="","",ROW()-19-COUNTBLANK($F$20:F167))</f>
        <v>132</v>
      </c>
      <c r="B167" s="4" t="s">
        <v>216</v>
      </c>
      <c r="C167" s="4" t="s">
        <v>2030</v>
      </c>
      <c r="D167" s="4"/>
      <c r="E167" s="7" t="s">
        <v>2031</v>
      </c>
      <c r="F167" s="7" t="s">
        <v>2032</v>
      </c>
      <c r="G167" s="3" t="s">
        <v>55</v>
      </c>
      <c r="H167" s="3"/>
      <c r="I167" s="3"/>
      <c r="J167" s="3"/>
      <c r="K167" s="3"/>
      <c r="L167" s="3"/>
      <c r="M167" s="3"/>
      <c r="N167" s="3"/>
      <c r="O167" s="3"/>
      <c r="P167" s="3"/>
      <c r="Q167" s="3"/>
    </row>
    <row r="168" spans="1:17" ht="60" customHeight="1" x14ac:dyDescent="0.25">
      <c r="A168" s="9">
        <f>IF(F168="","",ROW()-19-COUNTBLANK($F$20:F168))</f>
        <v>133</v>
      </c>
      <c r="B168" s="4" t="s">
        <v>1064</v>
      </c>
      <c r="C168" s="4" t="s">
        <v>2033</v>
      </c>
      <c r="D168" s="4"/>
      <c r="E168" s="7" t="s">
        <v>2034</v>
      </c>
      <c r="F168" s="7" t="s">
        <v>1067</v>
      </c>
      <c r="G168" s="3" t="s">
        <v>55</v>
      </c>
      <c r="H168" s="3"/>
      <c r="I168" s="3"/>
      <c r="J168" s="3"/>
      <c r="K168" s="3"/>
      <c r="L168" s="3"/>
      <c r="M168" s="3"/>
      <c r="N168" s="3"/>
      <c r="O168" s="3"/>
      <c r="P168" s="3"/>
      <c r="Q168" s="3"/>
    </row>
    <row r="169" spans="1:17" ht="60" customHeight="1" x14ac:dyDescent="0.25">
      <c r="A169" s="9">
        <f>IF(F169="","",ROW()-19-COUNTBLANK($F$20:F169))</f>
        <v>134</v>
      </c>
      <c r="B169" s="4" t="s">
        <v>1068</v>
      </c>
      <c r="C169" s="4" t="s">
        <v>2035</v>
      </c>
      <c r="D169" s="4"/>
      <c r="E169" s="7" t="s">
        <v>2036</v>
      </c>
      <c r="F169" s="7" t="s">
        <v>2037</v>
      </c>
      <c r="G169" s="3" t="s">
        <v>73</v>
      </c>
      <c r="H169" s="3"/>
      <c r="I169" s="3"/>
      <c r="J169" s="3"/>
      <c r="K169" s="3"/>
      <c r="L169" s="3"/>
      <c r="M169" s="3"/>
      <c r="N169" s="3"/>
      <c r="O169" s="3"/>
      <c r="P169" s="3"/>
      <c r="Q169" s="3"/>
    </row>
    <row r="170" spans="1:17" ht="60" customHeight="1" x14ac:dyDescent="0.25">
      <c r="A170" s="9">
        <f>IF(F170="","",ROW()-19-COUNTBLANK($F$20:F170))</f>
        <v>135</v>
      </c>
      <c r="B170" s="4" t="s">
        <v>1072</v>
      </c>
      <c r="C170" s="4" t="s">
        <v>2038</v>
      </c>
      <c r="D170" s="4"/>
      <c r="E170" s="7" t="s">
        <v>2031</v>
      </c>
      <c r="F170" s="7" t="s">
        <v>1095</v>
      </c>
      <c r="G170" s="3" t="s">
        <v>73</v>
      </c>
      <c r="H170" s="3"/>
      <c r="I170" s="3"/>
      <c r="J170" s="3"/>
      <c r="K170" s="3"/>
      <c r="L170" s="3"/>
      <c r="M170" s="3"/>
      <c r="N170" s="3"/>
      <c r="O170" s="3"/>
      <c r="P170" s="3"/>
      <c r="Q170" s="3"/>
    </row>
    <row r="171" spans="1:17" ht="20.100000000000001" customHeight="1" x14ac:dyDescent="0.25">
      <c r="A171" s="9" t="str">
        <f>IF(F171="","",ROW()-19-COUNTBLANK($F$20:F171))</f>
        <v/>
      </c>
      <c r="B171" s="12" t="s">
        <v>2039</v>
      </c>
      <c r="C171" s="12"/>
      <c r="D171" s="12"/>
      <c r="E171" s="12"/>
      <c r="F171" s="12"/>
      <c r="G171" s="12"/>
      <c r="H171" s="12"/>
      <c r="I171" s="12"/>
      <c r="J171" s="12"/>
      <c r="K171" s="12"/>
      <c r="L171" s="12"/>
      <c r="M171" s="12"/>
      <c r="N171" s="12"/>
      <c r="O171" s="12"/>
      <c r="P171" s="12"/>
      <c r="Q171" s="12"/>
    </row>
    <row r="172" spans="1:17" ht="60" customHeight="1" x14ac:dyDescent="0.25">
      <c r="A172" s="9">
        <f>IF(F172="","",ROW()-19-COUNTBLANK($F$20:F172))</f>
        <v>136</v>
      </c>
      <c r="B172" s="4" t="s">
        <v>216</v>
      </c>
      <c r="C172" s="4" t="s">
        <v>2040</v>
      </c>
      <c r="D172" s="4"/>
      <c r="E172" s="7" t="s">
        <v>2041</v>
      </c>
      <c r="F172" s="7" t="s">
        <v>2042</v>
      </c>
      <c r="G172" s="3" t="s">
        <v>55</v>
      </c>
      <c r="H172" s="3"/>
      <c r="I172" s="3"/>
      <c r="J172" s="3"/>
      <c r="K172" s="3"/>
      <c r="L172" s="3"/>
      <c r="M172" s="3"/>
      <c r="N172" s="3"/>
      <c r="O172" s="3"/>
      <c r="P172" s="3"/>
      <c r="Q172" s="3"/>
    </row>
    <row r="173" spans="1:17" ht="60" customHeight="1" x14ac:dyDescent="0.25">
      <c r="A173" s="9">
        <f>IF(F173="","",ROW()-19-COUNTBLANK($F$20:F173))</f>
        <v>137</v>
      </c>
      <c r="B173" s="4" t="s">
        <v>1064</v>
      </c>
      <c r="C173" s="4" t="s">
        <v>2043</v>
      </c>
      <c r="D173" s="4"/>
      <c r="E173" s="7" t="s">
        <v>2044</v>
      </c>
      <c r="F173" s="7" t="s">
        <v>1067</v>
      </c>
      <c r="G173" s="3" t="s">
        <v>55</v>
      </c>
      <c r="H173" s="3"/>
      <c r="I173" s="3"/>
      <c r="J173" s="3"/>
      <c r="K173" s="3"/>
      <c r="L173" s="3"/>
      <c r="M173" s="3"/>
      <c r="N173" s="3"/>
      <c r="O173" s="3"/>
      <c r="P173" s="3"/>
      <c r="Q173" s="3"/>
    </row>
    <row r="174" spans="1:17" ht="60" customHeight="1" x14ac:dyDescent="0.25">
      <c r="A174" s="9">
        <f>IF(F174="","",ROW()-19-COUNTBLANK($F$20:F174))</f>
        <v>138</v>
      </c>
      <c r="B174" s="4" t="s">
        <v>1068</v>
      </c>
      <c r="C174" s="4" t="s">
        <v>2045</v>
      </c>
      <c r="D174" s="4"/>
      <c r="E174" s="7" t="s">
        <v>2046</v>
      </c>
      <c r="F174" s="7" t="s">
        <v>2047</v>
      </c>
      <c r="G174" s="3" t="s">
        <v>73</v>
      </c>
      <c r="H174" s="3"/>
      <c r="I174" s="3"/>
      <c r="J174" s="3"/>
      <c r="K174" s="3"/>
      <c r="L174" s="3"/>
      <c r="M174" s="3"/>
      <c r="N174" s="3"/>
      <c r="O174" s="3"/>
      <c r="P174" s="3"/>
      <c r="Q174" s="3"/>
    </row>
    <row r="175" spans="1:17" ht="60" customHeight="1" x14ac:dyDescent="0.25">
      <c r="A175" s="9">
        <f>IF(F175="","",ROW()-19-COUNTBLANK($F$20:F175))</f>
        <v>139</v>
      </c>
      <c r="B175" s="4" t="s">
        <v>1072</v>
      </c>
      <c r="C175" s="4" t="s">
        <v>2048</v>
      </c>
      <c r="D175" s="4"/>
      <c r="E175" s="7" t="s">
        <v>2041</v>
      </c>
      <c r="F175" s="7" t="s">
        <v>1095</v>
      </c>
      <c r="G175" s="3" t="s">
        <v>73</v>
      </c>
      <c r="H175" s="3"/>
      <c r="I175" s="3"/>
      <c r="J175" s="3"/>
      <c r="K175" s="3"/>
      <c r="L175" s="3"/>
      <c r="M175" s="3"/>
      <c r="N175" s="3"/>
      <c r="O175" s="3"/>
      <c r="P175" s="3"/>
      <c r="Q175" s="3"/>
    </row>
    <row r="176" spans="1:17" ht="20.100000000000001" customHeight="1" x14ac:dyDescent="0.25">
      <c r="A176" s="9" t="str">
        <f>IF(F176="","",ROW()-19-COUNTBLANK($F$20:F176))</f>
        <v/>
      </c>
      <c r="B176" s="12" t="s">
        <v>2049</v>
      </c>
      <c r="C176" s="12"/>
      <c r="D176" s="12"/>
      <c r="E176" s="12"/>
      <c r="F176" s="12"/>
      <c r="G176" s="12"/>
      <c r="H176" s="12"/>
      <c r="I176" s="12"/>
      <c r="J176" s="12"/>
      <c r="K176" s="12"/>
      <c r="L176" s="12"/>
      <c r="M176" s="12"/>
      <c r="N176" s="12"/>
      <c r="O176" s="12"/>
      <c r="P176" s="12"/>
      <c r="Q176" s="12"/>
    </row>
    <row r="177" spans="1:17" ht="60" customHeight="1" x14ac:dyDescent="0.25">
      <c r="A177" s="9">
        <f>IF(F177="","",ROW()-19-COUNTBLANK($F$20:F177))</f>
        <v>140</v>
      </c>
      <c r="B177" s="4" t="s">
        <v>216</v>
      </c>
      <c r="C177" s="4" t="s">
        <v>2050</v>
      </c>
      <c r="D177" s="4"/>
      <c r="E177" s="7" t="s">
        <v>2051</v>
      </c>
      <c r="F177" s="7" t="s">
        <v>2052</v>
      </c>
      <c r="G177" s="3" t="s">
        <v>55</v>
      </c>
      <c r="H177" s="3"/>
      <c r="I177" s="3"/>
      <c r="J177" s="3"/>
      <c r="K177" s="3"/>
      <c r="L177" s="3"/>
      <c r="M177" s="3"/>
      <c r="N177" s="3"/>
      <c r="O177" s="3"/>
      <c r="P177" s="3"/>
      <c r="Q177" s="3"/>
    </row>
    <row r="178" spans="1:17" ht="60" customHeight="1" x14ac:dyDescent="0.25">
      <c r="A178" s="9">
        <f>IF(F178="","",ROW()-19-COUNTBLANK($F$20:F178))</f>
        <v>141</v>
      </c>
      <c r="B178" s="4" t="s">
        <v>1064</v>
      </c>
      <c r="C178" s="4" t="s">
        <v>2053</v>
      </c>
      <c r="D178" s="4"/>
      <c r="E178" s="7" t="s">
        <v>2054</v>
      </c>
      <c r="F178" s="7" t="s">
        <v>1067</v>
      </c>
      <c r="G178" s="3" t="s">
        <v>55</v>
      </c>
      <c r="H178" s="3"/>
      <c r="I178" s="3"/>
      <c r="J178" s="3"/>
      <c r="K178" s="3"/>
      <c r="L178" s="3"/>
      <c r="M178" s="3"/>
      <c r="N178" s="3"/>
      <c r="O178" s="3"/>
      <c r="P178" s="3"/>
      <c r="Q178" s="3"/>
    </row>
    <row r="179" spans="1:17" ht="60" customHeight="1" x14ac:dyDescent="0.25">
      <c r="A179" s="9">
        <f>IF(F179="","",ROW()-19-COUNTBLANK($F$20:F179))</f>
        <v>142</v>
      </c>
      <c r="B179" s="4" t="s">
        <v>1068</v>
      </c>
      <c r="C179" s="4" t="s">
        <v>2055</v>
      </c>
      <c r="D179" s="4"/>
      <c r="E179" s="7" t="s">
        <v>2056</v>
      </c>
      <c r="F179" s="7" t="s">
        <v>2057</v>
      </c>
      <c r="G179" s="3" t="s">
        <v>73</v>
      </c>
      <c r="H179" s="3"/>
      <c r="I179" s="3"/>
      <c r="J179" s="3"/>
      <c r="K179" s="3"/>
      <c r="L179" s="3"/>
      <c r="M179" s="3"/>
      <c r="N179" s="3"/>
      <c r="O179" s="3"/>
      <c r="P179" s="3"/>
      <c r="Q179" s="3"/>
    </row>
    <row r="180" spans="1:17" ht="60" customHeight="1" x14ac:dyDescent="0.25">
      <c r="A180" s="9">
        <f>IF(F180="","",ROW()-19-COUNTBLANK($F$20:F180))</f>
        <v>143</v>
      </c>
      <c r="B180" s="4" t="s">
        <v>1072</v>
      </c>
      <c r="C180" s="4" t="s">
        <v>2058</v>
      </c>
      <c r="D180" s="4"/>
      <c r="E180" s="7" t="s">
        <v>2051</v>
      </c>
      <c r="F180" s="7" t="s">
        <v>1095</v>
      </c>
      <c r="G180" s="3" t="s">
        <v>73</v>
      </c>
      <c r="H180" s="3"/>
      <c r="I180" s="3"/>
      <c r="J180" s="3"/>
      <c r="K180" s="3"/>
      <c r="L180" s="3"/>
      <c r="M180" s="3"/>
      <c r="N180" s="3"/>
      <c r="O180" s="3"/>
      <c r="P180" s="3"/>
      <c r="Q180" s="3"/>
    </row>
    <row r="181" spans="1:17" ht="60" customHeight="1" x14ac:dyDescent="0.25">
      <c r="A181" s="9">
        <f>IF(F181="","",ROW()-19-COUNTBLANK($F$20:F181))</f>
        <v>144</v>
      </c>
      <c r="B181" s="4" t="s">
        <v>2059</v>
      </c>
      <c r="C181" s="4" t="s">
        <v>2060</v>
      </c>
      <c r="D181" s="4" t="s">
        <v>2061</v>
      </c>
      <c r="E181" s="7" t="s">
        <v>2062</v>
      </c>
      <c r="F181" s="7" t="s">
        <v>2063</v>
      </c>
      <c r="G181" s="3" t="s">
        <v>55</v>
      </c>
      <c r="H181" s="3"/>
      <c r="I181" s="3"/>
      <c r="J181" s="3"/>
      <c r="K181" s="3"/>
      <c r="L181" s="3"/>
      <c r="M181" s="3"/>
      <c r="N181" s="3"/>
      <c r="O181" s="3"/>
      <c r="P181" s="3"/>
      <c r="Q181" s="3"/>
    </row>
    <row r="182" spans="1:17" ht="60" customHeight="1" x14ac:dyDescent="0.25">
      <c r="A182" s="9">
        <f>IF(F182="","",ROW()-19-COUNTBLANK($F$20:F182))</f>
        <v>145</v>
      </c>
      <c r="B182" s="4" t="s">
        <v>2064</v>
      </c>
      <c r="C182" s="4" t="s">
        <v>2065</v>
      </c>
      <c r="D182" s="4" t="s">
        <v>2066</v>
      </c>
      <c r="E182" s="7" t="s">
        <v>2062</v>
      </c>
      <c r="F182" s="7" t="s">
        <v>2067</v>
      </c>
      <c r="G182" s="3" t="s">
        <v>73</v>
      </c>
      <c r="H182" s="3"/>
      <c r="I182" s="3"/>
      <c r="J182" s="3"/>
      <c r="K182" s="3"/>
      <c r="L182" s="3"/>
      <c r="M182" s="3"/>
      <c r="N182" s="3"/>
      <c r="O182" s="3"/>
      <c r="P182" s="3"/>
      <c r="Q182" s="3"/>
    </row>
    <row r="183" spans="1:17" ht="20.100000000000001" customHeight="1" x14ac:dyDescent="0.25">
      <c r="A183" s="9" t="str">
        <f>IF(F183="","",ROW()-19-COUNTBLANK($F$20:F183))</f>
        <v/>
      </c>
      <c r="B183" s="12" t="s">
        <v>2068</v>
      </c>
      <c r="C183" s="12"/>
      <c r="D183" s="12"/>
      <c r="E183" s="12"/>
      <c r="F183" s="12"/>
      <c r="G183" s="12"/>
      <c r="H183" s="12"/>
      <c r="I183" s="12"/>
      <c r="J183" s="12"/>
      <c r="K183" s="12"/>
      <c r="L183" s="12"/>
      <c r="M183" s="12"/>
      <c r="N183" s="12"/>
      <c r="O183" s="12"/>
      <c r="P183" s="12"/>
      <c r="Q183" s="12"/>
    </row>
    <row r="184" spans="1:17" ht="60" customHeight="1" x14ac:dyDescent="0.25">
      <c r="A184" s="9">
        <f>IF(F184="","",ROW()-19-COUNTBLANK($F$20:F184))</f>
        <v>146</v>
      </c>
      <c r="B184" s="4" t="s">
        <v>114</v>
      </c>
      <c r="C184" s="4" t="s">
        <v>2069</v>
      </c>
      <c r="D184" s="4"/>
      <c r="E184" s="7" t="s">
        <v>2070</v>
      </c>
      <c r="F184" s="7" t="s">
        <v>2071</v>
      </c>
      <c r="G184" s="3" t="s">
        <v>55</v>
      </c>
      <c r="H184" s="3"/>
      <c r="I184" s="3"/>
      <c r="J184" s="3"/>
      <c r="K184" s="3"/>
      <c r="L184" s="3"/>
      <c r="M184" s="3"/>
      <c r="N184" s="3"/>
      <c r="O184" s="3"/>
      <c r="P184" s="3"/>
      <c r="Q184" s="3"/>
    </row>
    <row r="185" spans="1:17" ht="60" customHeight="1" x14ac:dyDescent="0.25">
      <c r="A185" s="9">
        <f>IF(F185="","",ROW()-19-COUNTBLANK($F$20:F185))</f>
        <v>147</v>
      </c>
      <c r="B185" s="4" t="s">
        <v>118</v>
      </c>
      <c r="C185" s="4" t="s">
        <v>2072</v>
      </c>
      <c r="D185" s="4"/>
      <c r="E185" s="7" t="s">
        <v>2073</v>
      </c>
      <c r="F185" s="7" t="s">
        <v>359</v>
      </c>
      <c r="G185" s="3" t="s">
        <v>55</v>
      </c>
      <c r="H185" s="3"/>
      <c r="I185" s="3"/>
      <c r="J185" s="3"/>
      <c r="K185" s="3"/>
      <c r="L185" s="3"/>
      <c r="M185" s="3"/>
      <c r="N185" s="3"/>
      <c r="O185" s="3"/>
      <c r="P185" s="3"/>
      <c r="Q185" s="3"/>
    </row>
    <row r="186" spans="1:17" ht="60" customHeight="1" x14ac:dyDescent="0.25">
      <c r="A186" s="9">
        <f>IF(F186="","",ROW()-19-COUNTBLANK($F$20:F186))</f>
        <v>148</v>
      </c>
      <c r="B186" s="4" t="s">
        <v>122</v>
      </c>
      <c r="C186" s="4" t="s">
        <v>2074</v>
      </c>
      <c r="D186" s="4"/>
      <c r="E186" s="7" t="s">
        <v>2075</v>
      </c>
      <c r="F186" s="7" t="s">
        <v>2076</v>
      </c>
      <c r="G186" s="3" t="s">
        <v>55</v>
      </c>
      <c r="H186" s="3"/>
      <c r="I186" s="3"/>
      <c r="J186" s="3"/>
      <c r="K186" s="3"/>
      <c r="L186" s="3"/>
      <c r="M186" s="3"/>
      <c r="N186" s="3"/>
      <c r="O186" s="3"/>
      <c r="P186" s="3"/>
      <c r="Q186" s="3"/>
    </row>
    <row r="187" spans="1:17" ht="20.100000000000001" customHeight="1" x14ac:dyDescent="0.25">
      <c r="A187" s="11"/>
      <c r="B187" s="22" t="s">
        <v>1247</v>
      </c>
      <c r="C187" s="23"/>
      <c r="D187" s="23"/>
      <c r="E187" s="23"/>
      <c r="F187" s="24"/>
      <c r="G187" s="11"/>
      <c r="H187" s="11"/>
      <c r="I187" s="11"/>
      <c r="J187" s="11"/>
      <c r="K187" s="11"/>
      <c r="L187" s="11"/>
      <c r="M187" s="11"/>
      <c r="N187" s="11"/>
      <c r="O187" s="11"/>
      <c r="P187" s="11"/>
      <c r="Q187" s="11"/>
    </row>
    <row r="188" spans="1:17" ht="20.100000000000001" customHeight="1" x14ac:dyDescent="0.25">
      <c r="A188" s="9" t="str">
        <f>IF(F188="","",ROW()-19-COUNTBLANK($F$20:F188))</f>
        <v/>
      </c>
      <c r="B188" s="12" t="s">
        <v>2077</v>
      </c>
      <c r="C188" s="12"/>
      <c r="D188" s="12"/>
      <c r="E188" s="12"/>
      <c r="F188" s="12"/>
      <c r="G188" s="12"/>
      <c r="H188" s="12"/>
      <c r="I188" s="12"/>
      <c r="J188" s="12"/>
      <c r="K188" s="12"/>
      <c r="L188" s="12"/>
      <c r="M188" s="12"/>
      <c r="N188" s="12"/>
      <c r="O188" s="12"/>
      <c r="P188" s="12"/>
      <c r="Q188" s="12"/>
    </row>
    <row r="189" spans="1:17" ht="60" customHeight="1" x14ac:dyDescent="0.25">
      <c r="A189" s="9">
        <f>IF(F189="","",ROW()-19-COUNTBLANK($F$20:F189))</f>
        <v>149</v>
      </c>
      <c r="B189" s="4" t="s">
        <v>2078</v>
      </c>
      <c r="C189" s="4" t="s">
        <v>2079</v>
      </c>
      <c r="D189" s="4" t="s">
        <v>2080</v>
      </c>
      <c r="E189" s="7" t="s">
        <v>2081</v>
      </c>
      <c r="F189" s="7" t="s">
        <v>2082</v>
      </c>
      <c r="G189" s="3" t="s">
        <v>50</v>
      </c>
      <c r="H189" s="3"/>
      <c r="I189" s="3"/>
      <c r="J189" s="3"/>
      <c r="K189" s="3"/>
      <c r="L189" s="3"/>
      <c r="M189" s="3"/>
      <c r="N189" s="3"/>
      <c r="O189" s="3"/>
      <c r="P189" s="3"/>
      <c r="Q189" s="3"/>
    </row>
    <row r="190" spans="1:17" ht="60" customHeight="1" x14ac:dyDescent="0.25">
      <c r="A190" s="9">
        <f>IF(F190="","",ROW()-19-COUNTBLANK($F$20:F190))</f>
        <v>150</v>
      </c>
      <c r="B190" s="4" t="s">
        <v>2083</v>
      </c>
      <c r="C190" s="4" t="s">
        <v>2084</v>
      </c>
      <c r="D190" s="4" t="s">
        <v>2085</v>
      </c>
      <c r="E190" s="7" t="s">
        <v>2086</v>
      </c>
      <c r="F190" s="7" t="s">
        <v>2087</v>
      </c>
      <c r="G190" s="3" t="s">
        <v>50</v>
      </c>
      <c r="H190" s="3"/>
      <c r="I190" s="3"/>
      <c r="J190" s="3"/>
      <c r="K190" s="3"/>
      <c r="L190" s="3"/>
      <c r="M190" s="3"/>
      <c r="N190" s="3"/>
      <c r="O190" s="3"/>
      <c r="P190" s="3"/>
      <c r="Q190" s="3"/>
    </row>
    <row r="191" spans="1:17" ht="60" customHeight="1" x14ac:dyDescent="0.25">
      <c r="A191" s="9">
        <f>IF(F191="","",ROW()-19-COUNTBLANK($F$20:F191))</f>
        <v>151</v>
      </c>
      <c r="B191" s="4" t="s">
        <v>2088</v>
      </c>
      <c r="C191" s="4" t="s">
        <v>2089</v>
      </c>
      <c r="D191" s="4" t="s">
        <v>2090</v>
      </c>
      <c r="E191" s="7" t="s">
        <v>2091</v>
      </c>
      <c r="F191" s="7" t="s">
        <v>2092</v>
      </c>
      <c r="G191" s="3" t="s">
        <v>50</v>
      </c>
      <c r="H191" s="3"/>
      <c r="I191" s="3"/>
      <c r="J191" s="3"/>
      <c r="K191" s="3"/>
      <c r="L191" s="3"/>
      <c r="M191" s="3"/>
      <c r="N191" s="3"/>
      <c r="O191" s="3"/>
      <c r="P191" s="3"/>
      <c r="Q191" s="3"/>
    </row>
    <row r="192" spans="1:17" ht="60" customHeight="1" x14ac:dyDescent="0.25">
      <c r="A192" s="9">
        <f>IF(F192="","",ROW()-19-COUNTBLANK($F$20:F192))</f>
        <v>152</v>
      </c>
      <c r="B192" s="4" t="s">
        <v>2093</v>
      </c>
      <c r="C192" s="4" t="s">
        <v>2094</v>
      </c>
      <c r="D192" s="4" t="s">
        <v>2095</v>
      </c>
      <c r="E192" s="7" t="s">
        <v>2096</v>
      </c>
      <c r="F192" s="7" t="s">
        <v>2097</v>
      </c>
      <c r="G192" s="3" t="s">
        <v>50</v>
      </c>
      <c r="H192" s="3"/>
      <c r="I192" s="3"/>
      <c r="J192" s="3"/>
      <c r="K192" s="3"/>
      <c r="L192" s="3"/>
      <c r="M192" s="3"/>
      <c r="N192" s="3"/>
      <c r="O192" s="3"/>
      <c r="P192" s="3"/>
      <c r="Q192" s="3"/>
    </row>
    <row r="193" spans="1:17" ht="60" customHeight="1" x14ac:dyDescent="0.25">
      <c r="A193" s="9">
        <f>IF(F193="","",ROW()-19-COUNTBLANK($F$20:F193))</f>
        <v>153</v>
      </c>
      <c r="B193" s="4" t="s">
        <v>2098</v>
      </c>
      <c r="C193" s="4" t="s">
        <v>2099</v>
      </c>
      <c r="D193" s="4" t="s">
        <v>2100</v>
      </c>
      <c r="E193" s="7" t="s">
        <v>2101</v>
      </c>
      <c r="F193" s="7" t="s">
        <v>2102</v>
      </c>
      <c r="G193" s="3" t="s">
        <v>50</v>
      </c>
      <c r="H193" s="3"/>
      <c r="I193" s="3"/>
      <c r="J193" s="3"/>
      <c r="K193" s="3"/>
      <c r="L193" s="3"/>
      <c r="M193" s="3"/>
      <c r="N193" s="3"/>
      <c r="O193" s="3"/>
      <c r="P193" s="3"/>
      <c r="Q193" s="3"/>
    </row>
    <row r="194" spans="1:17" ht="60" customHeight="1" x14ac:dyDescent="0.25">
      <c r="A194" s="9">
        <f>IF(F194="","",ROW()-19-COUNTBLANK($F$20:F194))</f>
        <v>154</v>
      </c>
      <c r="B194" s="4" t="s">
        <v>2103</v>
      </c>
      <c r="C194" s="4" t="s">
        <v>2104</v>
      </c>
      <c r="D194" s="4" t="s">
        <v>2105</v>
      </c>
      <c r="E194" s="7" t="s">
        <v>2106</v>
      </c>
      <c r="F194" s="7" t="s">
        <v>2107</v>
      </c>
      <c r="G194" s="3" t="s">
        <v>50</v>
      </c>
      <c r="H194" s="3"/>
      <c r="I194" s="3"/>
      <c r="J194" s="3"/>
      <c r="K194" s="3"/>
      <c r="L194" s="3"/>
      <c r="M194" s="3"/>
      <c r="N194" s="3"/>
      <c r="O194" s="3"/>
      <c r="P194" s="3"/>
      <c r="Q194" s="3"/>
    </row>
    <row r="195" spans="1:17" ht="60" customHeight="1" x14ac:dyDescent="0.25">
      <c r="A195" s="9">
        <f>IF(F195="","",ROW()-19-COUNTBLANK($F$20:F195))</f>
        <v>155</v>
      </c>
      <c r="B195" s="4" t="s">
        <v>2108</v>
      </c>
      <c r="C195" s="4" t="s">
        <v>2109</v>
      </c>
      <c r="D195" s="4" t="s">
        <v>2110</v>
      </c>
      <c r="E195" s="7" t="s">
        <v>1594</v>
      </c>
      <c r="F195" s="7" t="s">
        <v>2111</v>
      </c>
      <c r="G195" s="3" t="s">
        <v>50</v>
      </c>
      <c r="H195" s="3"/>
      <c r="I195" s="3"/>
      <c r="J195" s="3"/>
      <c r="K195" s="3"/>
      <c r="L195" s="3"/>
      <c r="M195" s="3"/>
      <c r="N195" s="3"/>
      <c r="O195" s="3"/>
      <c r="P195" s="3"/>
      <c r="Q195" s="3"/>
    </row>
    <row r="196" spans="1:17" ht="60" customHeight="1" x14ac:dyDescent="0.25">
      <c r="A196" s="9">
        <f>IF(F196="","",ROW()-19-COUNTBLANK($F$20:F196))</f>
        <v>156</v>
      </c>
      <c r="B196" s="4" t="s">
        <v>2112</v>
      </c>
      <c r="C196" s="4" t="s">
        <v>2113</v>
      </c>
      <c r="D196" s="4" t="s">
        <v>2114</v>
      </c>
      <c r="E196" s="7" t="s">
        <v>2115</v>
      </c>
      <c r="F196" s="7" t="s">
        <v>2116</v>
      </c>
      <c r="G196" s="3" t="s">
        <v>50</v>
      </c>
      <c r="H196" s="3"/>
      <c r="I196" s="3"/>
      <c r="J196" s="3"/>
      <c r="K196" s="3"/>
      <c r="L196" s="3"/>
      <c r="M196" s="3"/>
      <c r="N196" s="3"/>
      <c r="O196" s="3"/>
      <c r="P196" s="3"/>
      <c r="Q196" s="3"/>
    </row>
    <row r="197" spans="1:17" ht="20.100000000000001" customHeight="1" x14ac:dyDescent="0.25">
      <c r="A197" s="9" t="str">
        <f>IF(F197="","",ROW()-19-COUNTBLANK($F$20:F197))</f>
        <v/>
      </c>
      <c r="B197" s="12" t="s">
        <v>2117</v>
      </c>
      <c r="C197" s="12"/>
      <c r="D197" s="12"/>
      <c r="E197" s="12"/>
      <c r="F197" s="12"/>
      <c r="G197" s="12"/>
      <c r="H197" s="12"/>
      <c r="I197" s="12"/>
      <c r="J197" s="12"/>
      <c r="K197" s="12"/>
      <c r="L197" s="12"/>
      <c r="M197" s="12"/>
      <c r="N197" s="12"/>
      <c r="O197" s="12"/>
      <c r="P197" s="12"/>
      <c r="Q197" s="12"/>
    </row>
    <row r="198" spans="1:17" ht="60" customHeight="1" x14ac:dyDescent="0.25">
      <c r="A198" s="9">
        <f>IF(F198="","",ROW()-19-COUNTBLANK($F$20:F198))</f>
        <v>157</v>
      </c>
      <c r="B198" s="4" t="s">
        <v>2118</v>
      </c>
      <c r="C198" s="4" t="s">
        <v>2119</v>
      </c>
      <c r="D198" s="4" t="s">
        <v>2120</v>
      </c>
      <c r="E198" s="7" t="s">
        <v>2062</v>
      </c>
      <c r="F198" s="7" t="s">
        <v>2121</v>
      </c>
      <c r="G198" s="3" t="s">
        <v>50</v>
      </c>
      <c r="H198" s="3"/>
      <c r="I198" s="3"/>
      <c r="J198" s="3"/>
      <c r="K198" s="3"/>
      <c r="L198" s="3"/>
      <c r="M198" s="3"/>
      <c r="N198" s="3"/>
      <c r="O198" s="3"/>
      <c r="P198" s="3"/>
      <c r="Q198" s="3"/>
    </row>
    <row r="199" spans="1:17" ht="60" customHeight="1" x14ac:dyDescent="0.25">
      <c r="A199" s="9">
        <f>IF(F199="","",ROW()-19-COUNTBLANK($F$20:F199))</f>
        <v>158</v>
      </c>
      <c r="B199" s="17" t="s">
        <v>2122</v>
      </c>
      <c r="C199" s="4" t="s">
        <v>2123</v>
      </c>
      <c r="D199" s="4" t="s">
        <v>2124</v>
      </c>
      <c r="E199" s="7" t="s">
        <v>2062</v>
      </c>
      <c r="F199" s="7" t="s">
        <v>2125</v>
      </c>
      <c r="G199" s="3" t="s">
        <v>50</v>
      </c>
      <c r="H199" s="3"/>
      <c r="I199" s="3"/>
      <c r="J199" s="3"/>
      <c r="K199" s="3"/>
      <c r="L199" s="3"/>
      <c r="M199" s="3"/>
      <c r="N199" s="3"/>
      <c r="O199" s="3"/>
      <c r="P199" s="3"/>
      <c r="Q199" s="3"/>
    </row>
    <row r="200" spans="1:17" ht="60" customHeight="1" x14ac:dyDescent="0.25">
      <c r="A200" s="9">
        <f>IF(F200="","",ROW()-19-COUNTBLANK($F$20:F200))</f>
        <v>159</v>
      </c>
      <c r="B200" s="18"/>
      <c r="C200" s="4" t="s">
        <v>2126</v>
      </c>
      <c r="D200" s="4" t="s">
        <v>2127</v>
      </c>
      <c r="E200" s="7" t="s">
        <v>2062</v>
      </c>
      <c r="F200" s="7" t="s">
        <v>2128</v>
      </c>
      <c r="G200" s="3" t="s">
        <v>50</v>
      </c>
      <c r="H200" s="3"/>
      <c r="I200" s="3"/>
      <c r="J200" s="3"/>
      <c r="K200" s="3"/>
      <c r="L200" s="3"/>
      <c r="M200" s="3"/>
      <c r="N200" s="3"/>
      <c r="O200" s="3"/>
      <c r="P200" s="3"/>
      <c r="Q200" s="3"/>
    </row>
    <row r="201" spans="1:17" ht="60" customHeight="1" x14ac:dyDescent="0.25">
      <c r="A201" s="9">
        <f>IF(F201="","",ROW()-19-COUNTBLANK($F$20:F201))</f>
        <v>160</v>
      </c>
      <c r="B201" s="18"/>
      <c r="C201" s="4" t="s">
        <v>2129</v>
      </c>
      <c r="D201" s="4" t="s">
        <v>2130</v>
      </c>
      <c r="E201" s="7" t="s">
        <v>2062</v>
      </c>
      <c r="F201" s="7" t="s">
        <v>2131</v>
      </c>
      <c r="G201" s="3" t="s">
        <v>50</v>
      </c>
      <c r="H201" s="3"/>
      <c r="I201" s="3"/>
      <c r="J201" s="3"/>
      <c r="K201" s="3"/>
      <c r="L201" s="3"/>
      <c r="M201" s="3"/>
      <c r="N201" s="3"/>
      <c r="O201" s="3"/>
      <c r="P201" s="3"/>
      <c r="Q201" s="3"/>
    </row>
    <row r="202" spans="1:17" ht="60" customHeight="1" x14ac:dyDescent="0.25">
      <c r="A202" s="9">
        <f>IF(F202="","",ROW()-19-COUNTBLANK($F$20:F202))</f>
        <v>161</v>
      </c>
      <c r="B202" s="18"/>
      <c r="C202" s="4" t="s">
        <v>2132</v>
      </c>
      <c r="D202" s="4" t="s">
        <v>2133</v>
      </c>
      <c r="E202" s="7" t="s">
        <v>2062</v>
      </c>
      <c r="F202" s="7" t="s">
        <v>2134</v>
      </c>
      <c r="G202" s="3" t="s">
        <v>50</v>
      </c>
      <c r="H202" s="3"/>
      <c r="I202" s="3"/>
      <c r="J202" s="3"/>
      <c r="K202" s="3"/>
      <c r="L202" s="3"/>
      <c r="M202" s="3"/>
      <c r="N202" s="3"/>
      <c r="O202" s="3"/>
      <c r="P202" s="3"/>
      <c r="Q202" s="3"/>
    </row>
    <row r="203" spans="1:17" ht="60" customHeight="1" x14ac:dyDescent="0.25">
      <c r="A203" s="9">
        <f>IF(F203="","",ROW()-19-COUNTBLANK($F$20:F203))</f>
        <v>162</v>
      </c>
      <c r="B203" s="19"/>
      <c r="C203" s="4" t="s">
        <v>2135</v>
      </c>
      <c r="D203" s="4" t="s">
        <v>2136</v>
      </c>
      <c r="E203" s="7" t="s">
        <v>2062</v>
      </c>
      <c r="F203" s="7" t="s">
        <v>2137</v>
      </c>
      <c r="G203" s="3" t="s">
        <v>50</v>
      </c>
      <c r="H203" s="3"/>
      <c r="I203" s="3"/>
      <c r="J203" s="3"/>
      <c r="K203" s="3"/>
      <c r="L203" s="3"/>
      <c r="M203" s="3"/>
      <c r="N203" s="3"/>
      <c r="O203" s="3"/>
      <c r="P203" s="3"/>
      <c r="Q203" s="3"/>
    </row>
    <row r="204" spans="1:17" ht="60" customHeight="1" x14ac:dyDescent="0.25">
      <c r="A204" s="9">
        <f>IF(F204="","",ROW()-19-COUNTBLANK($F$20:F204))</f>
        <v>163</v>
      </c>
      <c r="B204" s="4" t="s">
        <v>2138</v>
      </c>
      <c r="C204" s="4" t="s">
        <v>2139</v>
      </c>
      <c r="D204" s="4" t="s">
        <v>2140</v>
      </c>
      <c r="E204" s="7" t="s">
        <v>2062</v>
      </c>
      <c r="F204" s="7" t="s">
        <v>2141</v>
      </c>
      <c r="G204" s="3" t="s">
        <v>50</v>
      </c>
      <c r="H204" s="3"/>
      <c r="I204" s="3"/>
      <c r="J204" s="3"/>
      <c r="K204" s="3"/>
      <c r="L204" s="3"/>
      <c r="M204" s="3"/>
      <c r="N204" s="3"/>
      <c r="O204" s="3"/>
      <c r="P204" s="3"/>
      <c r="Q204" s="3"/>
    </row>
    <row r="205" spans="1:17" ht="60" customHeight="1" x14ac:dyDescent="0.25">
      <c r="A205" s="9">
        <f>IF(F205="","",ROW()-19-COUNTBLANK($F$20:F205))</f>
        <v>164</v>
      </c>
      <c r="B205" s="4" t="s">
        <v>2142</v>
      </c>
      <c r="C205" s="4" t="s">
        <v>2143</v>
      </c>
      <c r="D205" s="4" t="s">
        <v>2144</v>
      </c>
      <c r="E205" s="7" t="s">
        <v>2145</v>
      </c>
      <c r="F205" s="7" t="s">
        <v>2146</v>
      </c>
      <c r="G205" s="3" t="s">
        <v>55</v>
      </c>
      <c r="H205" s="3"/>
      <c r="I205" s="3"/>
      <c r="J205" s="3"/>
      <c r="K205" s="3"/>
      <c r="L205" s="3"/>
      <c r="M205" s="3"/>
      <c r="N205" s="3"/>
      <c r="O205" s="3"/>
      <c r="P205" s="3"/>
      <c r="Q205" s="3"/>
    </row>
    <row r="206" spans="1:17" ht="20.100000000000001" customHeight="1" x14ac:dyDescent="0.25">
      <c r="A206" s="9" t="str">
        <f>IF(F206="","",ROW()-19-COUNTBLANK($F$20:F206))</f>
        <v/>
      </c>
      <c r="B206" s="12" t="s">
        <v>2147</v>
      </c>
      <c r="C206" s="12"/>
      <c r="D206" s="12"/>
      <c r="E206" s="12"/>
      <c r="F206" s="12"/>
      <c r="G206" s="12"/>
      <c r="H206" s="12"/>
      <c r="I206" s="12"/>
      <c r="J206" s="12"/>
      <c r="K206" s="12"/>
      <c r="L206" s="12"/>
      <c r="M206" s="12"/>
      <c r="N206" s="12"/>
      <c r="O206" s="12"/>
      <c r="P206" s="12"/>
      <c r="Q206" s="12"/>
    </row>
    <row r="207" spans="1:17" ht="60" customHeight="1" x14ac:dyDescent="0.25">
      <c r="A207" s="9">
        <f>IF(F207="","",ROW()-19-COUNTBLANK($F$20:F207))</f>
        <v>165</v>
      </c>
      <c r="B207" s="4" t="s">
        <v>2148</v>
      </c>
      <c r="C207" s="4" t="s">
        <v>2149</v>
      </c>
      <c r="D207" s="4" t="s">
        <v>2150</v>
      </c>
      <c r="E207" s="7" t="s">
        <v>2151</v>
      </c>
      <c r="F207" s="7" t="s">
        <v>2152</v>
      </c>
      <c r="G207" s="3" t="s">
        <v>50</v>
      </c>
      <c r="H207" s="3"/>
      <c r="I207" s="3"/>
      <c r="J207" s="3"/>
      <c r="K207" s="3"/>
      <c r="L207" s="3"/>
      <c r="M207" s="3"/>
      <c r="N207" s="3"/>
      <c r="O207" s="3"/>
      <c r="P207" s="3"/>
      <c r="Q207" s="3"/>
    </row>
    <row r="208" spans="1:17" ht="60" customHeight="1" x14ac:dyDescent="0.25">
      <c r="A208" s="9">
        <f>IF(F208="","",ROW()-19-COUNTBLANK($F$20:F208))</f>
        <v>166</v>
      </c>
      <c r="B208" s="4" t="s">
        <v>2153</v>
      </c>
      <c r="C208" s="4" t="s">
        <v>2154</v>
      </c>
      <c r="D208" s="4" t="s">
        <v>2155</v>
      </c>
      <c r="E208" s="7" t="s">
        <v>2151</v>
      </c>
      <c r="F208" s="7" t="s">
        <v>2156</v>
      </c>
      <c r="G208" s="3" t="s">
        <v>50</v>
      </c>
      <c r="H208" s="3"/>
      <c r="I208" s="3"/>
      <c r="J208" s="3"/>
      <c r="K208" s="3"/>
      <c r="L208" s="3"/>
      <c r="M208" s="3"/>
      <c r="N208" s="3"/>
      <c r="O208" s="3"/>
      <c r="P208" s="3"/>
      <c r="Q208" s="3"/>
    </row>
    <row r="209" spans="1:17" ht="60" customHeight="1" x14ac:dyDescent="0.25">
      <c r="A209" s="9">
        <f>IF(F209="","",ROW()-19-COUNTBLANK($F$20:F209))</f>
        <v>167</v>
      </c>
      <c r="B209" s="4" t="s">
        <v>2157</v>
      </c>
      <c r="C209" s="4" t="s">
        <v>1542</v>
      </c>
      <c r="D209" s="4" t="s">
        <v>2158</v>
      </c>
      <c r="E209" s="7" t="s">
        <v>2159</v>
      </c>
      <c r="F209" s="7" t="s">
        <v>1545</v>
      </c>
      <c r="G209" s="3" t="s">
        <v>50</v>
      </c>
      <c r="H209" s="3"/>
      <c r="I209" s="3"/>
      <c r="J209" s="3"/>
      <c r="K209" s="3"/>
      <c r="L209" s="3"/>
      <c r="M209" s="3"/>
      <c r="N209" s="3"/>
      <c r="O209" s="3"/>
      <c r="P209" s="3"/>
      <c r="Q209" s="3"/>
    </row>
    <row r="210" spans="1:17" ht="60" customHeight="1" x14ac:dyDescent="0.25">
      <c r="A210" s="9">
        <f>IF(F210="","",ROW()-19-COUNTBLANK($F$20:F210))</f>
        <v>168</v>
      </c>
      <c r="B210" s="4" t="s">
        <v>2160</v>
      </c>
      <c r="C210" s="4" t="s">
        <v>2161</v>
      </c>
      <c r="D210" s="4" t="s">
        <v>2162</v>
      </c>
      <c r="E210" s="7" t="s">
        <v>2163</v>
      </c>
      <c r="F210" s="7" t="s">
        <v>2164</v>
      </c>
      <c r="G210" s="3" t="s">
        <v>50</v>
      </c>
      <c r="H210" s="3"/>
      <c r="I210" s="3"/>
      <c r="J210" s="3"/>
      <c r="K210" s="3"/>
      <c r="L210" s="3"/>
      <c r="M210" s="3"/>
      <c r="N210" s="3"/>
      <c r="O210" s="3"/>
      <c r="P210" s="3"/>
      <c r="Q210" s="3"/>
    </row>
    <row r="211" spans="1:17" ht="20.100000000000001" customHeight="1" x14ac:dyDescent="0.25">
      <c r="A211" s="9" t="str">
        <f>IF(F211="","",ROW()-19-COUNTBLANK($F$20:F211))</f>
        <v/>
      </c>
      <c r="B211" s="12" t="s">
        <v>2165</v>
      </c>
      <c r="C211" s="12"/>
      <c r="D211" s="12"/>
      <c r="E211" s="12"/>
      <c r="F211" s="12"/>
      <c r="G211" s="12"/>
      <c r="H211" s="12"/>
      <c r="I211" s="12"/>
      <c r="J211" s="12"/>
      <c r="K211" s="12"/>
      <c r="L211" s="12"/>
      <c r="M211" s="12"/>
      <c r="N211" s="12"/>
      <c r="O211" s="12"/>
      <c r="P211" s="12"/>
      <c r="Q211" s="12"/>
    </row>
    <row r="212" spans="1:17" ht="60" customHeight="1" x14ac:dyDescent="0.25">
      <c r="A212" s="9">
        <f>IF(F212="","",ROW()-19-COUNTBLANK($F$20:F212))</f>
        <v>169</v>
      </c>
      <c r="B212" s="4" t="s">
        <v>2166</v>
      </c>
      <c r="C212" s="4" t="s">
        <v>2167</v>
      </c>
      <c r="D212" s="4" t="s">
        <v>2168</v>
      </c>
      <c r="E212" s="7" t="s">
        <v>1598</v>
      </c>
      <c r="F212" s="7" t="s">
        <v>2169</v>
      </c>
      <c r="G212" s="3" t="s">
        <v>50</v>
      </c>
      <c r="H212" s="3"/>
      <c r="I212" s="3"/>
      <c r="J212" s="3"/>
      <c r="K212" s="3"/>
      <c r="L212" s="3"/>
      <c r="M212" s="3"/>
      <c r="N212" s="3"/>
      <c r="O212" s="3"/>
      <c r="P212" s="3"/>
      <c r="Q212" s="3"/>
    </row>
    <row r="213" spans="1:17" ht="60" customHeight="1" x14ac:dyDescent="0.25">
      <c r="A213" s="9">
        <f>IF(F213="","",ROW()-19-COUNTBLANK($F$20:F213))</f>
        <v>170</v>
      </c>
      <c r="B213" s="4" t="s">
        <v>2170</v>
      </c>
      <c r="C213" s="4" t="s">
        <v>2171</v>
      </c>
      <c r="D213" s="4" t="s">
        <v>2172</v>
      </c>
      <c r="E213" s="7" t="s">
        <v>1598</v>
      </c>
      <c r="F213" s="7" t="s">
        <v>2173</v>
      </c>
      <c r="G213" s="3" t="s">
        <v>50</v>
      </c>
      <c r="H213" s="3"/>
      <c r="I213" s="3"/>
      <c r="J213" s="3"/>
      <c r="K213" s="3"/>
      <c r="L213" s="3"/>
      <c r="M213" s="3"/>
      <c r="N213" s="3"/>
      <c r="O213" s="3"/>
      <c r="P213" s="3"/>
      <c r="Q213" s="3"/>
    </row>
    <row r="214" spans="1:17" ht="60" customHeight="1" x14ac:dyDescent="0.25">
      <c r="A214" s="9">
        <f>IF(F214="","",ROW()-19-COUNTBLANK($F$20:F214))</f>
        <v>171</v>
      </c>
      <c r="B214" s="4" t="s">
        <v>2174</v>
      </c>
      <c r="C214" s="4" t="s">
        <v>2175</v>
      </c>
      <c r="D214" s="4" t="s">
        <v>2176</v>
      </c>
      <c r="E214" s="7" t="s">
        <v>2177</v>
      </c>
      <c r="F214" s="7" t="s">
        <v>1545</v>
      </c>
      <c r="G214" s="3" t="s">
        <v>50</v>
      </c>
      <c r="H214" s="3"/>
      <c r="I214" s="3"/>
      <c r="J214" s="3"/>
      <c r="K214" s="3"/>
      <c r="L214" s="3"/>
      <c r="M214" s="3"/>
      <c r="N214" s="3"/>
      <c r="O214" s="3"/>
      <c r="P214" s="3"/>
      <c r="Q214" s="3"/>
    </row>
    <row r="215" spans="1:17" ht="60" customHeight="1" x14ac:dyDescent="0.25">
      <c r="A215" s="9">
        <f>IF(F215="","",ROW()-19-COUNTBLANK($F$20:F215))</f>
        <v>172</v>
      </c>
      <c r="B215" s="4" t="s">
        <v>2178</v>
      </c>
      <c r="C215" s="4" t="s">
        <v>2179</v>
      </c>
      <c r="D215" s="4" t="s">
        <v>2162</v>
      </c>
      <c r="E215" s="7" t="s">
        <v>2180</v>
      </c>
      <c r="F215" s="7" t="s">
        <v>2181</v>
      </c>
      <c r="G215" s="3" t="s">
        <v>50</v>
      </c>
      <c r="H215" s="3"/>
      <c r="I215" s="3"/>
      <c r="J215" s="3"/>
      <c r="K215" s="3"/>
      <c r="L215" s="3"/>
      <c r="M215" s="3"/>
      <c r="N215" s="3"/>
      <c r="O215" s="3"/>
      <c r="P215" s="3"/>
      <c r="Q215" s="3"/>
    </row>
    <row r="216" spans="1:17" ht="20.100000000000001" customHeight="1" x14ac:dyDescent="0.25">
      <c r="A216" s="9" t="str">
        <f>IF(F216="","",ROW()-19-COUNTBLANK($F$20:F216))</f>
        <v/>
      </c>
      <c r="B216" s="12" t="s">
        <v>1546</v>
      </c>
      <c r="C216" s="12"/>
      <c r="D216" s="12"/>
      <c r="E216" s="12"/>
      <c r="F216" s="12"/>
      <c r="G216" s="12"/>
      <c r="H216" s="12"/>
      <c r="I216" s="12"/>
      <c r="J216" s="12"/>
      <c r="K216" s="12"/>
      <c r="L216" s="12"/>
      <c r="M216" s="12"/>
      <c r="N216" s="12"/>
      <c r="O216" s="12"/>
      <c r="P216" s="12"/>
      <c r="Q216" s="12"/>
    </row>
    <row r="217" spans="1:17" ht="60" customHeight="1" x14ac:dyDescent="0.25">
      <c r="A217" s="9">
        <f>IF(F217="","",ROW()-19-COUNTBLANK($F$20:F217))</f>
        <v>173</v>
      </c>
      <c r="B217" s="4" t="s">
        <v>2182</v>
      </c>
      <c r="C217" s="4" t="s">
        <v>2183</v>
      </c>
      <c r="D217" s="4" t="s">
        <v>1549</v>
      </c>
      <c r="E217" s="7" t="s">
        <v>1594</v>
      </c>
      <c r="F217" s="7" t="s">
        <v>2184</v>
      </c>
      <c r="G217" s="3" t="s">
        <v>50</v>
      </c>
      <c r="H217" s="3"/>
      <c r="I217" s="3"/>
      <c r="J217" s="3"/>
      <c r="K217" s="3"/>
      <c r="L217" s="3"/>
      <c r="M217" s="3"/>
      <c r="N217" s="3"/>
      <c r="O217" s="3"/>
      <c r="P217" s="3"/>
      <c r="Q217" s="3"/>
    </row>
    <row r="218" spans="1:17" ht="60" customHeight="1" x14ac:dyDescent="0.25">
      <c r="A218" s="9">
        <f>IF(F218="","",ROW()-19-COUNTBLANK($F$20:F218))</f>
        <v>174</v>
      </c>
      <c r="B218" s="4" t="s">
        <v>2185</v>
      </c>
      <c r="C218" s="4" t="s">
        <v>2186</v>
      </c>
      <c r="D218" s="4" t="s">
        <v>2187</v>
      </c>
      <c r="E218" s="7" t="s">
        <v>2188</v>
      </c>
      <c r="F218" s="7" t="s">
        <v>2189</v>
      </c>
      <c r="G218" s="3" t="s">
        <v>50</v>
      </c>
      <c r="H218" s="3"/>
      <c r="I218" s="3"/>
      <c r="J218" s="3"/>
      <c r="K218" s="3"/>
      <c r="L218" s="3"/>
      <c r="M218" s="3"/>
      <c r="N218" s="3"/>
      <c r="O218" s="3"/>
      <c r="P218" s="3"/>
      <c r="Q218" s="3"/>
    </row>
  </sheetData>
  <mergeCells count="37">
    <mergeCell ref="B134:B136"/>
    <mergeCell ref="F15:F17"/>
    <mergeCell ref="B199:B203"/>
    <mergeCell ref="B103:B110"/>
    <mergeCell ref="B92:B93"/>
    <mergeCell ref="B187:F187"/>
    <mergeCell ref="B126:B127"/>
    <mergeCell ref="E15:E17"/>
    <mergeCell ref="B59:B60"/>
    <mergeCell ref="B137:B139"/>
    <mergeCell ref="A15:A17"/>
    <mergeCell ref="B73:B78"/>
    <mergeCell ref="B1:F1"/>
    <mergeCell ref="B131:B133"/>
    <mergeCell ref="B44:B47"/>
    <mergeCell ref="B53:B56"/>
    <mergeCell ref="B80:B81"/>
    <mergeCell ref="B87:B88"/>
    <mergeCell ref="C15:C17"/>
    <mergeCell ref="B95:B101"/>
    <mergeCell ref="B112:B113"/>
    <mergeCell ref="B19:F19"/>
    <mergeCell ref="B128:B130"/>
    <mergeCell ref="D15:D17"/>
    <mergeCell ref="Q15:Q17"/>
    <mergeCell ref="B15:B17"/>
    <mergeCell ref="B115:B118"/>
    <mergeCell ref="B18:F18"/>
    <mergeCell ref="B123:B125"/>
    <mergeCell ref="B83:B85"/>
    <mergeCell ref="B62:B71"/>
    <mergeCell ref="H15:H17"/>
    <mergeCell ref="P15:P17"/>
    <mergeCell ref="O15:O17"/>
    <mergeCell ref="I15:N15"/>
    <mergeCell ref="G15:G17"/>
    <mergeCell ref="I16:N1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81"/>
  <sheetViews>
    <sheetView workbookViewId="0"/>
  </sheetViews>
  <sheetFormatPr defaultRowHeight="15" x14ac:dyDescent="0.25"/>
  <cols>
    <col min="1" max="1" width="13" customWidth="1"/>
    <col min="2" max="2" width="33.5703125" customWidth="1"/>
    <col min="3" max="4" width="28" customWidth="1"/>
    <col min="5" max="5" width="44.28515625" customWidth="1"/>
    <col min="6" max="6" width="59.7109375" customWidth="1"/>
    <col min="7" max="7" width="12.5703125" customWidth="1"/>
    <col min="8" max="17" width="13" customWidth="1"/>
  </cols>
  <sheetData>
    <row r="1" spans="1:17" x14ac:dyDescent="0.25">
      <c r="B1" s="25" t="s">
        <v>20</v>
      </c>
      <c r="C1" s="14"/>
      <c r="D1" s="14"/>
      <c r="E1" s="14"/>
      <c r="F1" s="14"/>
    </row>
    <row r="3" spans="1:17" ht="47.25" x14ac:dyDescent="0.25">
      <c r="B3" s="6" t="s">
        <v>21</v>
      </c>
      <c r="C3" s="7" t="s">
        <v>14</v>
      </c>
      <c r="E3" s="6" t="s">
        <v>22</v>
      </c>
      <c r="F3" s="8"/>
    </row>
    <row r="4" spans="1:17" ht="15.75" x14ac:dyDescent="0.25">
      <c r="B4" s="6" t="s">
        <v>23</v>
      </c>
      <c r="C4" s="7" t="s">
        <v>24</v>
      </c>
      <c r="E4" s="6" t="s">
        <v>25</v>
      </c>
    </row>
    <row r="6" spans="1:17" ht="15.75" x14ac:dyDescent="0.25">
      <c r="B6" s="6" t="s">
        <v>3</v>
      </c>
    </row>
    <row r="7" spans="1:17" ht="15.75" x14ac:dyDescent="0.25">
      <c r="B7" s="6" t="s">
        <v>4</v>
      </c>
      <c r="C7" s="9">
        <f>COUNTIF($O$20:$O$181,"P")</f>
        <v>0</v>
      </c>
    </row>
    <row r="8" spans="1:17" ht="31.5" x14ac:dyDescent="0.25">
      <c r="B8" s="6" t="s">
        <v>5</v>
      </c>
      <c r="C8" s="9">
        <f>COUNTIF($O$20:$O$181,"F")</f>
        <v>0</v>
      </c>
    </row>
    <row r="9" spans="1:17" ht="31.5" x14ac:dyDescent="0.25">
      <c r="B9" s="6" t="s">
        <v>6</v>
      </c>
      <c r="C9" s="9">
        <f>COUNTIF($O$20:$O$181,"PE")</f>
        <v>0</v>
      </c>
    </row>
    <row r="10" spans="1:17" ht="31.5" x14ac:dyDescent="0.25">
      <c r="B10" s="6" t="s">
        <v>7</v>
      </c>
      <c r="C10" s="9">
        <f>C11-C7-C8-C9</f>
        <v>138</v>
      </c>
    </row>
    <row r="11" spans="1:17" ht="15.75" x14ac:dyDescent="0.25">
      <c r="B11" s="6" t="s">
        <v>8</v>
      </c>
      <c r="C11" s="9">
        <f>COUNTA($F$20:$F$181)</f>
        <v>138</v>
      </c>
    </row>
    <row r="15" spans="1:17" x14ac:dyDescent="0.25">
      <c r="A15" s="20" t="s">
        <v>26</v>
      </c>
      <c r="B15" s="20" t="s">
        <v>27</v>
      </c>
      <c r="C15" s="20" t="s">
        <v>28</v>
      </c>
      <c r="D15" s="20" t="s">
        <v>29</v>
      </c>
      <c r="E15" s="20" t="s">
        <v>30</v>
      </c>
      <c r="F15" s="20" t="s">
        <v>31</v>
      </c>
      <c r="G15" s="20" t="s">
        <v>32</v>
      </c>
      <c r="H15" s="20" t="s">
        <v>33</v>
      </c>
      <c r="I15" s="20" t="s">
        <v>34</v>
      </c>
      <c r="J15" s="14"/>
      <c r="K15" s="14"/>
      <c r="L15" s="14"/>
      <c r="M15" s="14"/>
      <c r="N15" s="14"/>
      <c r="O15" s="20" t="s">
        <v>35</v>
      </c>
      <c r="P15" s="20" t="s">
        <v>36</v>
      </c>
      <c r="Q15" s="20" t="s">
        <v>37</v>
      </c>
    </row>
    <row r="16" spans="1:17" x14ac:dyDescent="0.25">
      <c r="A16" s="14"/>
      <c r="B16" s="14"/>
      <c r="C16" s="14"/>
      <c r="D16" s="14"/>
      <c r="E16" s="14"/>
      <c r="F16" s="14"/>
      <c r="G16" s="14"/>
      <c r="H16" s="14"/>
      <c r="I16" s="20" t="s">
        <v>38</v>
      </c>
      <c r="J16" s="14"/>
      <c r="K16" s="14"/>
      <c r="L16" s="14"/>
      <c r="M16" s="14"/>
      <c r="N16" s="14"/>
      <c r="O16" s="14"/>
      <c r="P16" s="14"/>
      <c r="Q16" s="14"/>
    </row>
    <row r="17" spans="1:17" ht="31.5" x14ac:dyDescent="0.25">
      <c r="A17" s="14"/>
      <c r="B17" s="14"/>
      <c r="C17" s="14"/>
      <c r="D17" s="14"/>
      <c r="E17" s="14"/>
      <c r="F17" s="14"/>
      <c r="G17" s="14"/>
      <c r="H17" s="14"/>
      <c r="I17" s="10" t="s">
        <v>39</v>
      </c>
      <c r="J17" s="10" t="s">
        <v>40</v>
      </c>
      <c r="K17" s="10" t="s">
        <v>41</v>
      </c>
      <c r="L17" s="10" t="s">
        <v>40</v>
      </c>
      <c r="M17" s="10" t="s">
        <v>42</v>
      </c>
      <c r="N17" s="10" t="s">
        <v>40</v>
      </c>
      <c r="O17" s="14"/>
      <c r="P17" s="14"/>
      <c r="Q17" s="14"/>
    </row>
    <row r="18" spans="1:17" ht="80.099999999999994" customHeight="1" x14ac:dyDescent="0.25">
      <c r="B18" s="21" t="s">
        <v>1575</v>
      </c>
      <c r="C18" s="14"/>
      <c r="D18" s="14"/>
      <c r="E18" s="14"/>
      <c r="F18" s="14"/>
    </row>
    <row r="19" spans="1:17" ht="20.100000000000001" customHeight="1" x14ac:dyDescent="0.25">
      <c r="A19" s="11"/>
      <c r="B19" s="22" t="s">
        <v>44</v>
      </c>
      <c r="C19" s="23"/>
      <c r="D19" s="23"/>
      <c r="E19" s="23"/>
      <c r="F19" s="24"/>
      <c r="G19" s="11"/>
      <c r="H19" s="11"/>
      <c r="I19" s="11"/>
      <c r="J19" s="11"/>
      <c r="K19" s="11"/>
      <c r="L19" s="11"/>
      <c r="M19" s="11"/>
      <c r="N19" s="11"/>
      <c r="O19" s="11"/>
      <c r="P19" s="11"/>
      <c r="Q19" s="11"/>
    </row>
    <row r="20" spans="1:17" ht="20.100000000000001" customHeight="1" x14ac:dyDescent="0.25">
      <c r="A20" s="9" t="str">
        <f>IF(F20="","",ROW()-19-COUNTBLANK($F$20:F20))</f>
        <v/>
      </c>
      <c r="B20" s="12" t="s">
        <v>45</v>
      </c>
      <c r="C20" s="12"/>
      <c r="D20" s="12"/>
      <c r="E20" s="12"/>
      <c r="F20" s="12"/>
      <c r="G20" s="12"/>
      <c r="H20" s="12"/>
      <c r="I20" s="12"/>
      <c r="J20" s="12"/>
      <c r="K20" s="12"/>
      <c r="L20" s="12"/>
      <c r="M20" s="12"/>
      <c r="N20" s="12"/>
      <c r="O20" s="12"/>
      <c r="P20" s="12"/>
      <c r="Q20" s="12"/>
    </row>
    <row r="21" spans="1:17" ht="60" customHeight="1" x14ac:dyDescent="0.25">
      <c r="A21" s="9">
        <f>IF(F21="","",ROW()-19-COUNTBLANK($F$20:F21))</f>
        <v>1</v>
      </c>
      <c r="B21" s="4" t="s">
        <v>46</v>
      </c>
      <c r="C21" s="4" t="s">
        <v>2190</v>
      </c>
      <c r="D21" s="4"/>
      <c r="E21" s="7" t="s">
        <v>2191</v>
      </c>
      <c r="F21" s="7" t="s">
        <v>2192</v>
      </c>
      <c r="G21" s="3" t="s">
        <v>50</v>
      </c>
      <c r="H21" s="3"/>
      <c r="I21" s="3"/>
      <c r="J21" s="3"/>
      <c r="K21" s="3"/>
      <c r="L21" s="3"/>
      <c r="M21" s="3"/>
      <c r="N21" s="3"/>
      <c r="O21" s="3"/>
      <c r="P21" s="3"/>
      <c r="Q21" s="3"/>
    </row>
    <row r="22" spans="1:17" ht="60" customHeight="1" x14ac:dyDescent="0.25">
      <c r="A22" s="9">
        <f>IF(F22="","",ROW()-19-COUNTBLANK($F$20:F22))</f>
        <v>2</v>
      </c>
      <c r="B22" s="4" t="s">
        <v>51</v>
      </c>
      <c r="C22" s="4" t="s">
        <v>52</v>
      </c>
      <c r="D22" s="4"/>
      <c r="E22" s="7" t="s">
        <v>2193</v>
      </c>
      <c r="F22" s="7" t="s">
        <v>54</v>
      </c>
      <c r="G22" s="3" t="s">
        <v>55</v>
      </c>
      <c r="H22" s="3"/>
      <c r="I22" s="3"/>
      <c r="J22" s="3"/>
      <c r="K22" s="3"/>
      <c r="L22" s="3"/>
      <c r="M22" s="3"/>
      <c r="N22" s="3"/>
      <c r="O22" s="3"/>
      <c r="P22" s="3"/>
      <c r="Q22" s="3"/>
    </row>
    <row r="23" spans="1:17" ht="60" customHeight="1" x14ac:dyDescent="0.25">
      <c r="A23" s="9">
        <f>IF(F23="","",ROW()-19-COUNTBLANK($F$20:F23))</f>
        <v>3</v>
      </c>
      <c r="B23" s="4" t="s">
        <v>56</v>
      </c>
      <c r="C23" s="4" t="s">
        <v>57</v>
      </c>
      <c r="D23" s="4"/>
      <c r="E23" s="7" t="s">
        <v>2194</v>
      </c>
      <c r="F23" s="7" t="s">
        <v>1581</v>
      </c>
      <c r="G23" s="3" t="s">
        <v>55</v>
      </c>
      <c r="H23" s="3"/>
      <c r="I23" s="3"/>
      <c r="J23" s="3"/>
      <c r="K23" s="3"/>
      <c r="L23" s="3"/>
      <c r="M23" s="3"/>
      <c r="N23" s="3"/>
      <c r="O23" s="3"/>
      <c r="P23" s="3"/>
      <c r="Q23" s="3"/>
    </row>
    <row r="24" spans="1:17" ht="60" customHeight="1" x14ac:dyDescent="0.25">
      <c r="A24" s="9">
        <f>IF(F24="","",ROW()-19-COUNTBLANK($F$20:F24))</f>
        <v>4</v>
      </c>
      <c r="B24" s="4" t="s">
        <v>60</v>
      </c>
      <c r="C24" s="4" t="s">
        <v>61</v>
      </c>
      <c r="D24" s="4"/>
      <c r="E24" s="7" t="s">
        <v>2195</v>
      </c>
      <c r="F24" s="7" t="s">
        <v>63</v>
      </c>
      <c r="G24" s="3" t="s">
        <v>55</v>
      </c>
      <c r="H24" s="3"/>
      <c r="I24" s="3"/>
      <c r="J24" s="3"/>
      <c r="K24" s="3"/>
      <c r="L24" s="3"/>
      <c r="M24" s="3"/>
      <c r="N24" s="3"/>
      <c r="O24" s="3"/>
      <c r="P24" s="3"/>
      <c r="Q24" s="3"/>
    </row>
    <row r="25" spans="1:17" ht="60" customHeight="1" x14ac:dyDescent="0.25">
      <c r="A25" s="9">
        <f>IF(F25="","",ROW()-19-COUNTBLANK($F$20:F25))</f>
        <v>5</v>
      </c>
      <c r="B25" s="4" t="s">
        <v>64</v>
      </c>
      <c r="C25" s="4" t="s">
        <v>65</v>
      </c>
      <c r="D25" s="4"/>
      <c r="E25" s="7" t="s">
        <v>2196</v>
      </c>
      <c r="F25" s="7" t="s">
        <v>1584</v>
      </c>
      <c r="G25" s="3" t="s">
        <v>55</v>
      </c>
      <c r="H25" s="3"/>
      <c r="I25" s="3"/>
      <c r="J25" s="3"/>
      <c r="K25" s="3"/>
      <c r="L25" s="3"/>
      <c r="M25" s="3"/>
      <c r="N25" s="3"/>
      <c r="O25" s="3"/>
      <c r="P25" s="3"/>
      <c r="Q25" s="3"/>
    </row>
    <row r="26" spans="1:17" ht="60" customHeight="1" x14ac:dyDescent="0.25">
      <c r="A26" s="9">
        <f>IF(F26="","",ROW()-19-COUNTBLANK($F$20:F26))</f>
        <v>6</v>
      </c>
      <c r="B26" s="4" t="s">
        <v>68</v>
      </c>
      <c r="C26" s="4" t="s">
        <v>69</v>
      </c>
      <c r="D26" s="4" t="s">
        <v>70</v>
      </c>
      <c r="E26" s="7" t="s">
        <v>2197</v>
      </c>
      <c r="F26" s="7" t="s">
        <v>72</v>
      </c>
      <c r="G26" s="3" t="s">
        <v>73</v>
      </c>
      <c r="H26" s="3"/>
      <c r="I26" s="3"/>
      <c r="J26" s="3"/>
      <c r="K26" s="3"/>
      <c r="L26" s="3"/>
      <c r="M26" s="3"/>
      <c r="N26" s="3"/>
      <c r="O26" s="3"/>
      <c r="P26" s="3"/>
      <c r="Q26" s="3"/>
    </row>
    <row r="27" spans="1:17" ht="60" customHeight="1" x14ac:dyDescent="0.25">
      <c r="A27" s="9">
        <f>IF(F27="","",ROW()-19-COUNTBLANK($F$20:F27))</f>
        <v>7</v>
      </c>
      <c r="B27" s="4" t="s">
        <v>74</v>
      </c>
      <c r="C27" s="4" t="s">
        <v>75</v>
      </c>
      <c r="D27" s="4" t="s">
        <v>76</v>
      </c>
      <c r="E27" s="7" t="s">
        <v>2198</v>
      </c>
      <c r="F27" s="7" t="s">
        <v>78</v>
      </c>
      <c r="G27" s="3" t="s">
        <v>73</v>
      </c>
      <c r="H27" s="3"/>
      <c r="I27" s="3"/>
      <c r="J27" s="3"/>
      <c r="K27" s="3"/>
      <c r="L27" s="3"/>
      <c r="M27" s="3"/>
      <c r="N27" s="3"/>
      <c r="O27" s="3"/>
      <c r="P27" s="3"/>
      <c r="Q27" s="3"/>
    </row>
    <row r="28" spans="1:17" ht="20.100000000000001" customHeight="1" x14ac:dyDescent="0.25">
      <c r="A28" s="9" t="str">
        <f>IF(F28="","",ROW()-19-COUNTBLANK($F$20:F28))</f>
        <v/>
      </c>
      <c r="B28" s="12" t="s">
        <v>1587</v>
      </c>
      <c r="C28" s="12"/>
      <c r="D28" s="12"/>
      <c r="E28" s="12"/>
      <c r="F28" s="12"/>
      <c r="G28" s="12"/>
      <c r="H28" s="12"/>
      <c r="I28" s="12"/>
      <c r="J28" s="12"/>
      <c r="K28" s="12"/>
      <c r="L28" s="12"/>
      <c r="M28" s="12"/>
      <c r="N28" s="12"/>
      <c r="O28" s="12"/>
      <c r="P28" s="12"/>
      <c r="Q28" s="12"/>
    </row>
    <row r="29" spans="1:17" ht="60" customHeight="1" x14ac:dyDescent="0.25">
      <c r="A29" s="9">
        <f>IF(F29="","",ROW()-19-COUNTBLANK($F$20:F29))</f>
        <v>8</v>
      </c>
      <c r="B29" s="4" t="s">
        <v>85</v>
      </c>
      <c r="C29" s="4" t="s">
        <v>85</v>
      </c>
      <c r="D29" s="4"/>
      <c r="E29" s="7" t="s">
        <v>2199</v>
      </c>
      <c r="F29" s="7" t="s">
        <v>1589</v>
      </c>
      <c r="G29" s="3" t="s">
        <v>73</v>
      </c>
      <c r="H29" s="3"/>
      <c r="I29" s="3"/>
      <c r="J29" s="3"/>
      <c r="K29" s="3"/>
      <c r="L29" s="3"/>
      <c r="M29" s="3"/>
      <c r="N29" s="3"/>
      <c r="O29" s="3"/>
      <c r="P29" s="3"/>
      <c r="Q29" s="3"/>
    </row>
    <row r="30" spans="1:17" ht="60" customHeight="1" x14ac:dyDescent="0.25">
      <c r="A30" s="9">
        <f>IF(F30="","",ROW()-19-COUNTBLANK($F$20:F30))</f>
        <v>9</v>
      </c>
      <c r="B30" s="4" t="s">
        <v>88</v>
      </c>
      <c r="C30" s="4" t="s">
        <v>88</v>
      </c>
      <c r="D30" s="4"/>
      <c r="E30" s="7" t="s">
        <v>2200</v>
      </c>
      <c r="F30" s="7" t="s">
        <v>90</v>
      </c>
      <c r="G30" s="3" t="s">
        <v>73</v>
      </c>
      <c r="H30" s="3"/>
      <c r="I30" s="3"/>
      <c r="J30" s="3"/>
      <c r="K30" s="3"/>
      <c r="L30" s="3"/>
      <c r="M30" s="3"/>
      <c r="N30" s="3"/>
      <c r="O30" s="3"/>
      <c r="P30" s="3"/>
      <c r="Q30" s="3"/>
    </row>
    <row r="31" spans="1:17" ht="20.100000000000001" customHeight="1" x14ac:dyDescent="0.25">
      <c r="A31" s="9" t="str">
        <f>IF(F31="","",ROW()-19-COUNTBLANK($F$20:F31))</f>
        <v/>
      </c>
      <c r="B31" s="12" t="s">
        <v>1591</v>
      </c>
      <c r="C31" s="12"/>
      <c r="D31" s="12"/>
      <c r="E31" s="12"/>
      <c r="F31" s="12"/>
      <c r="G31" s="12"/>
      <c r="H31" s="12"/>
      <c r="I31" s="12"/>
      <c r="J31" s="12"/>
      <c r="K31" s="12"/>
      <c r="L31" s="12"/>
      <c r="M31" s="12"/>
      <c r="N31" s="12"/>
      <c r="O31" s="12"/>
      <c r="P31" s="12"/>
      <c r="Q31" s="12"/>
    </row>
    <row r="32" spans="1:17" ht="60" customHeight="1" x14ac:dyDescent="0.25">
      <c r="A32" s="9">
        <f>IF(F32="","",ROW()-19-COUNTBLANK($F$20:F32))</f>
        <v>10</v>
      </c>
      <c r="B32" s="4" t="s">
        <v>1592</v>
      </c>
      <c r="C32" s="4" t="s">
        <v>1593</v>
      </c>
      <c r="D32" s="4"/>
      <c r="E32" s="7" t="s">
        <v>2201</v>
      </c>
      <c r="F32" s="7" t="s">
        <v>1595</v>
      </c>
      <c r="G32" s="3" t="s">
        <v>50</v>
      </c>
      <c r="H32" s="3"/>
      <c r="I32" s="3"/>
      <c r="J32" s="3"/>
      <c r="K32" s="3"/>
      <c r="L32" s="3"/>
      <c r="M32" s="3"/>
      <c r="N32" s="3"/>
      <c r="O32" s="3"/>
      <c r="P32" s="3"/>
      <c r="Q32" s="3"/>
    </row>
    <row r="33" spans="1:17" ht="60" customHeight="1" x14ac:dyDescent="0.25">
      <c r="A33" s="9">
        <f>IF(F33="","",ROW()-19-COUNTBLANK($F$20:F33))</f>
        <v>11</v>
      </c>
      <c r="B33" s="4" t="s">
        <v>1596</v>
      </c>
      <c r="C33" s="4" t="s">
        <v>1597</v>
      </c>
      <c r="D33" s="4"/>
      <c r="E33" s="7" t="s">
        <v>2202</v>
      </c>
      <c r="F33" s="7" t="s">
        <v>1599</v>
      </c>
      <c r="G33" s="3" t="s">
        <v>50</v>
      </c>
      <c r="H33" s="3"/>
      <c r="I33" s="3"/>
      <c r="J33" s="3"/>
      <c r="K33" s="3"/>
      <c r="L33" s="3"/>
      <c r="M33" s="3"/>
      <c r="N33" s="3"/>
      <c r="O33" s="3"/>
      <c r="P33" s="3"/>
      <c r="Q33" s="3"/>
    </row>
    <row r="34" spans="1:17" ht="60" customHeight="1" x14ac:dyDescent="0.25">
      <c r="A34" s="9">
        <f>IF(F34="","",ROW()-19-COUNTBLANK($F$20:F34))</f>
        <v>12</v>
      </c>
      <c r="B34" s="4" t="s">
        <v>1600</v>
      </c>
      <c r="C34" s="4" t="s">
        <v>1601</v>
      </c>
      <c r="D34" s="4"/>
      <c r="E34" s="7" t="s">
        <v>2203</v>
      </c>
      <c r="F34" s="7" t="s">
        <v>1603</v>
      </c>
      <c r="G34" s="3" t="s">
        <v>55</v>
      </c>
      <c r="H34" s="3"/>
      <c r="I34" s="3"/>
      <c r="J34" s="3"/>
      <c r="K34" s="3"/>
      <c r="L34" s="3"/>
      <c r="M34" s="3"/>
      <c r="N34" s="3"/>
      <c r="O34" s="3"/>
      <c r="P34" s="3"/>
      <c r="Q34" s="3"/>
    </row>
    <row r="35" spans="1:17" ht="60" customHeight="1" x14ac:dyDescent="0.25">
      <c r="A35" s="9">
        <f>IF(F35="","",ROW()-19-COUNTBLANK($F$20:F35))</f>
        <v>13</v>
      </c>
      <c r="B35" s="4" t="s">
        <v>1604</v>
      </c>
      <c r="C35" s="4" t="s">
        <v>1605</v>
      </c>
      <c r="D35" s="4"/>
      <c r="E35" s="7" t="s">
        <v>2204</v>
      </c>
      <c r="F35" s="7" t="s">
        <v>1607</v>
      </c>
      <c r="G35" s="3" t="s">
        <v>73</v>
      </c>
      <c r="H35" s="3"/>
      <c r="I35" s="3"/>
      <c r="J35" s="3"/>
      <c r="K35" s="3"/>
      <c r="L35" s="3"/>
      <c r="M35" s="3"/>
      <c r="N35" s="3"/>
      <c r="O35" s="3"/>
      <c r="P35" s="3"/>
      <c r="Q35" s="3"/>
    </row>
    <row r="36" spans="1:17" ht="20.100000000000001" customHeight="1" x14ac:dyDescent="0.25">
      <c r="A36" s="9" t="str">
        <f>IF(F36="","",ROW()-19-COUNTBLANK($F$20:F36))</f>
        <v/>
      </c>
      <c r="B36" s="12" t="s">
        <v>1608</v>
      </c>
      <c r="C36" s="12"/>
      <c r="D36" s="12"/>
      <c r="E36" s="12"/>
      <c r="F36" s="12"/>
      <c r="G36" s="12"/>
      <c r="H36" s="12"/>
      <c r="I36" s="12"/>
      <c r="J36" s="12"/>
      <c r="K36" s="12"/>
      <c r="L36" s="12"/>
      <c r="M36" s="12"/>
      <c r="N36" s="12"/>
      <c r="O36" s="12"/>
      <c r="P36" s="12"/>
      <c r="Q36" s="12"/>
    </row>
    <row r="37" spans="1:17" ht="60" customHeight="1" x14ac:dyDescent="0.25">
      <c r="A37" s="9">
        <f>IF(F37="","",ROW()-19-COUNTBLANK($F$20:F37))</f>
        <v>14</v>
      </c>
      <c r="B37" s="4" t="s">
        <v>1609</v>
      </c>
      <c r="C37" s="4" t="s">
        <v>1610</v>
      </c>
      <c r="D37" s="4"/>
      <c r="E37" s="7" t="s">
        <v>2205</v>
      </c>
      <c r="F37" s="7" t="s">
        <v>1612</v>
      </c>
      <c r="G37" s="3" t="s">
        <v>55</v>
      </c>
      <c r="H37" s="3"/>
      <c r="I37" s="3"/>
      <c r="J37" s="3"/>
      <c r="K37" s="3"/>
      <c r="L37" s="3"/>
      <c r="M37" s="3"/>
      <c r="N37" s="3"/>
      <c r="O37" s="3"/>
      <c r="P37" s="3"/>
      <c r="Q37" s="3"/>
    </row>
    <row r="38" spans="1:17" ht="60" customHeight="1" x14ac:dyDescent="0.25">
      <c r="A38" s="9">
        <f>IF(F38="","",ROW()-19-COUNTBLANK($F$20:F38))</f>
        <v>15</v>
      </c>
      <c r="B38" s="4" t="s">
        <v>1613</v>
      </c>
      <c r="C38" s="4" t="s">
        <v>1614</v>
      </c>
      <c r="D38" s="4"/>
      <c r="E38" s="7" t="s">
        <v>2206</v>
      </c>
      <c r="F38" s="7" t="s">
        <v>1616</v>
      </c>
      <c r="G38" s="3" t="s">
        <v>55</v>
      </c>
      <c r="H38" s="3"/>
      <c r="I38" s="3"/>
      <c r="J38" s="3"/>
      <c r="K38" s="3"/>
      <c r="L38" s="3"/>
      <c r="M38" s="3"/>
      <c r="N38" s="3"/>
      <c r="O38" s="3"/>
      <c r="P38" s="3"/>
      <c r="Q38" s="3"/>
    </row>
    <row r="39" spans="1:17" ht="60" customHeight="1" x14ac:dyDescent="0.25">
      <c r="A39" s="9">
        <f>IF(F39="","",ROW()-19-COUNTBLANK($F$20:F39))</f>
        <v>16</v>
      </c>
      <c r="B39" s="4" t="s">
        <v>1617</v>
      </c>
      <c r="C39" s="4" t="s">
        <v>1618</v>
      </c>
      <c r="D39" s="4"/>
      <c r="E39" s="7" t="s">
        <v>2207</v>
      </c>
      <c r="F39" s="7" t="s">
        <v>1620</v>
      </c>
      <c r="G39" s="3" t="s">
        <v>55</v>
      </c>
      <c r="H39" s="3"/>
      <c r="I39" s="3"/>
      <c r="J39" s="3"/>
      <c r="K39" s="3"/>
      <c r="L39" s="3"/>
      <c r="M39" s="3"/>
      <c r="N39" s="3"/>
      <c r="O39" s="3"/>
      <c r="P39" s="3"/>
      <c r="Q39" s="3"/>
    </row>
    <row r="40" spans="1:17" ht="60" customHeight="1" x14ac:dyDescent="0.25">
      <c r="A40" s="9">
        <f>IF(F40="","",ROW()-19-COUNTBLANK($F$20:F40))</f>
        <v>17</v>
      </c>
      <c r="B40" s="4" t="s">
        <v>1621</v>
      </c>
      <c r="C40" s="4" t="s">
        <v>1622</v>
      </c>
      <c r="D40" s="4"/>
      <c r="E40" s="7" t="s">
        <v>2208</v>
      </c>
      <c r="F40" s="7" t="s">
        <v>1624</v>
      </c>
      <c r="G40" s="3" t="s">
        <v>55</v>
      </c>
      <c r="H40" s="3"/>
      <c r="I40" s="3"/>
      <c r="J40" s="3"/>
      <c r="K40" s="3"/>
      <c r="L40" s="3"/>
      <c r="M40" s="3"/>
      <c r="N40" s="3"/>
      <c r="O40" s="3"/>
      <c r="P40" s="3"/>
      <c r="Q40" s="3"/>
    </row>
    <row r="41" spans="1:17" ht="60" customHeight="1" x14ac:dyDescent="0.25">
      <c r="A41" s="9">
        <f>IF(F41="","",ROW()-19-COUNTBLANK($F$20:F41))</f>
        <v>18</v>
      </c>
      <c r="B41" s="4" t="s">
        <v>1625</v>
      </c>
      <c r="C41" s="4" t="s">
        <v>1626</v>
      </c>
      <c r="D41" s="4"/>
      <c r="E41" s="7" t="s">
        <v>2209</v>
      </c>
      <c r="F41" s="7" t="s">
        <v>1628</v>
      </c>
      <c r="G41" s="3" t="s">
        <v>55</v>
      </c>
      <c r="H41" s="3"/>
      <c r="I41" s="3"/>
      <c r="J41" s="3"/>
      <c r="K41" s="3"/>
      <c r="L41" s="3"/>
      <c r="M41" s="3"/>
      <c r="N41" s="3"/>
      <c r="O41" s="3"/>
      <c r="P41" s="3"/>
      <c r="Q41" s="3"/>
    </row>
    <row r="42" spans="1:17" ht="60" customHeight="1" x14ac:dyDescent="0.25">
      <c r="A42" s="9">
        <f>IF(F42="","",ROW()-19-COUNTBLANK($F$20:F42))</f>
        <v>19</v>
      </c>
      <c r="B42" s="4" t="s">
        <v>1629</v>
      </c>
      <c r="C42" s="4" t="s">
        <v>1630</v>
      </c>
      <c r="D42" s="4"/>
      <c r="E42" s="7" t="s">
        <v>2210</v>
      </c>
      <c r="F42" s="7" t="s">
        <v>1632</v>
      </c>
      <c r="G42" s="3" t="s">
        <v>55</v>
      </c>
      <c r="H42" s="3"/>
      <c r="I42" s="3"/>
      <c r="J42" s="3"/>
      <c r="K42" s="3"/>
      <c r="L42" s="3"/>
      <c r="M42" s="3"/>
      <c r="N42" s="3"/>
      <c r="O42" s="3"/>
      <c r="P42" s="3"/>
      <c r="Q42" s="3"/>
    </row>
    <row r="43" spans="1:17" ht="60" customHeight="1" x14ac:dyDescent="0.25">
      <c r="A43" s="9">
        <f>IF(F43="","",ROW()-19-COUNTBLANK($F$20:F43))</f>
        <v>20</v>
      </c>
      <c r="B43" s="4" t="s">
        <v>1633</v>
      </c>
      <c r="C43" s="4" t="s">
        <v>1634</v>
      </c>
      <c r="D43" s="4"/>
      <c r="E43" s="7" t="s">
        <v>2211</v>
      </c>
      <c r="F43" s="7" t="s">
        <v>1636</v>
      </c>
      <c r="G43" s="3" t="s">
        <v>55</v>
      </c>
      <c r="H43" s="3"/>
      <c r="I43" s="3"/>
      <c r="J43" s="3"/>
      <c r="K43" s="3"/>
      <c r="L43" s="3"/>
      <c r="M43" s="3"/>
      <c r="N43" s="3"/>
      <c r="O43" s="3"/>
      <c r="P43" s="3"/>
      <c r="Q43" s="3"/>
    </row>
    <row r="44" spans="1:17" ht="60" customHeight="1" x14ac:dyDescent="0.25">
      <c r="A44" s="9">
        <f>IF(F44="","",ROW()-19-COUNTBLANK($F$20:F44))</f>
        <v>21</v>
      </c>
      <c r="B44" s="17" t="s">
        <v>1637</v>
      </c>
      <c r="C44" s="4" t="s">
        <v>1638</v>
      </c>
      <c r="D44" s="4" t="s">
        <v>1639</v>
      </c>
      <c r="E44" s="7" t="s">
        <v>2201</v>
      </c>
      <c r="F44" s="7" t="s">
        <v>1640</v>
      </c>
      <c r="G44" s="3" t="s">
        <v>50</v>
      </c>
      <c r="H44" s="3"/>
      <c r="I44" s="3"/>
      <c r="J44" s="3"/>
      <c r="K44" s="3"/>
      <c r="L44" s="3"/>
      <c r="M44" s="3"/>
      <c r="N44" s="3"/>
      <c r="O44" s="3"/>
      <c r="P44" s="3"/>
      <c r="Q44" s="3"/>
    </row>
    <row r="45" spans="1:17" ht="60" customHeight="1" x14ac:dyDescent="0.25">
      <c r="A45" s="9">
        <f>IF(F45="","",ROW()-19-COUNTBLANK($F$20:F45))</f>
        <v>22</v>
      </c>
      <c r="B45" s="18"/>
      <c r="C45" s="4" t="s">
        <v>1641</v>
      </c>
      <c r="D45" s="4" t="s">
        <v>1642</v>
      </c>
      <c r="E45" s="7" t="s">
        <v>2201</v>
      </c>
      <c r="F45" s="7" t="s">
        <v>1643</v>
      </c>
      <c r="G45" s="3" t="s">
        <v>50</v>
      </c>
      <c r="H45" s="3"/>
      <c r="I45" s="3"/>
      <c r="J45" s="3"/>
      <c r="K45" s="3"/>
      <c r="L45" s="3"/>
      <c r="M45" s="3"/>
      <c r="N45" s="3"/>
      <c r="O45" s="3"/>
      <c r="P45" s="3"/>
      <c r="Q45" s="3"/>
    </row>
    <row r="46" spans="1:17" ht="60" customHeight="1" x14ac:dyDescent="0.25">
      <c r="A46" s="9">
        <f>IF(F46="","",ROW()-19-COUNTBLANK($F$20:F46))</f>
        <v>23</v>
      </c>
      <c r="B46" s="18"/>
      <c r="C46" s="4" t="s">
        <v>1644</v>
      </c>
      <c r="D46" s="4"/>
      <c r="E46" s="7" t="s">
        <v>2201</v>
      </c>
      <c r="F46" s="7" t="s">
        <v>1645</v>
      </c>
      <c r="G46" s="3" t="s">
        <v>50</v>
      </c>
      <c r="H46" s="3"/>
      <c r="I46" s="3"/>
      <c r="J46" s="3"/>
      <c r="K46" s="3"/>
      <c r="L46" s="3"/>
      <c r="M46" s="3"/>
      <c r="N46" s="3"/>
      <c r="O46" s="3"/>
      <c r="P46" s="3"/>
      <c r="Q46" s="3"/>
    </row>
    <row r="47" spans="1:17" ht="60" customHeight="1" x14ac:dyDescent="0.25">
      <c r="A47" s="9">
        <f>IF(F47="","",ROW()-19-COUNTBLANK($F$20:F47))</f>
        <v>24</v>
      </c>
      <c r="B47" s="19"/>
      <c r="C47" s="4" t="s">
        <v>1646</v>
      </c>
      <c r="D47" s="4"/>
      <c r="E47" s="7" t="s">
        <v>2201</v>
      </c>
      <c r="F47" s="7" t="s">
        <v>1647</v>
      </c>
      <c r="G47" s="3" t="s">
        <v>50</v>
      </c>
      <c r="H47" s="3"/>
      <c r="I47" s="3"/>
      <c r="J47" s="3"/>
      <c r="K47" s="3"/>
      <c r="L47" s="3"/>
      <c r="M47" s="3"/>
      <c r="N47" s="3"/>
      <c r="O47" s="3"/>
      <c r="P47" s="3"/>
      <c r="Q47" s="3"/>
    </row>
    <row r="48" spans="1:17" ht="20.100000000000001" customHeight="1" x14ac:dyDescent="0.25">
      <c r="A48" s="9" t="str">
        <f>IF(F48="","",ROW()-19-COUNTBLANK($F$20:F48))</f>
        <v/>
      </c>
      <c r="B48" s="12" t="s">
        <v>1238</v>
      </c>
      <c r="C48" s="12"/>
      <c r="D48" s="12"/>
      <c r="E48" s="12"/>
      <c r="F48" s="12"/>
      <c r="G48" s="12"/>
      <c r="H48" s="12"/>
      <c r="I48" s="12"/>
      <c r="J48" s="12"/>
      <c r="K48" s="12"/>
      <c r="L48" s="12"/>
      <c r="M48" s="12"/>
      <c r="N48" s="12"/>
      <c r="O48" s="12"/>
      <c r="P48" s="12"/>
      <c r="Q48" s="12"/>
    </row>
    <row r="49" spans="1:17" ht="60" customHeight="1" x14ac:dyDescent="0.25">
      <c r="A49" s="9">
        <f>IF(F49="","",ROW()-19-COUNTBLANK($F$20:F49))</f>
        <v>25</v>
      </c>
      <c r="B49" s="4" t="s">
        <v>1239</v>
      </c>
      <c r="C49" s="4" t="s">
        <v>1648</v>
      </c>
      <c r="D49" s="4" t="s">
        <v>1241</v>
      </c>
      <c r="E49" s="7" t="s">
        <v>2201</v>
      </c>
      <c r="F49" s="7" t="s">
        <v>1649</v>
      </c>
      <c r="G49" s="3" t="s">
        <v>55</v>
      </c>
      <c r="H49" s="3"/>
      <c r="I49" s="3"/>
      <c r="J49" s="3"/>
      <c r="K49" s="3"/>
      <c r="L49" s="3"/>
      <c r="M49" s="3"/>
      <c r="N49" s="3"/>
      <c r="O49" s="3"/>
      <c r="P49" s="3"/>
      <c r="Q49" s="3"/>
    </row>
    <row r="50" spans="1:17" ht="60" customHeight="1" x14ac:dyDescent="0.25">
      <c r="A50" s="9">
        <f>IF(F50="","",ROW()-19-COUNTBLANK($F$20:F50))</f>
        <v>26</v>
      </c>
      <c r="B50" s="4" t="s">
        <v>1243</v>
      </c>
      <c r="C50" s="4" t="s">
        <v>1244</v>
      </c>
      <c r="D50" s="4"/>
      <c r="E50" s="7" t="s">
        <v>2212</v>
      </c>
      <c r="F50" s="7" t="s">
        <v>1651</v>
      </c>
      <c r="G50" s="3" t="s">
        <v>73</v>
      </c>
      <c r="H50" s="3"/>
      <c r="I50" s="3"/>
      <c r="J50" s="3"/>
      <c r="K50" s="3"/>
      <c r="L50" s="3"/>
      <c r="M50" s="3"/>
      <c r="N50" s="3"/>
      <c r="O50" s="3"/>
      <c r="P50" s="3"/>
      <c r="Q50" s="3"/>
    </row>
    <row r="51" spans="1:17" ht="20.100000000000001" customHeight="1" x14ac:dyDescent="0.25">
      <c r="A51" s="9" t="str">
        <f>IF(F51="","",ROW()-19-COUNTBLANK($F$20:F51))</f>
        <v/>
      </c>
      <c r="B51" s="12" t="s">
        <v>1652</v>
      </c>
      <c r="C51" s="12"/>
      <c r="D51" s="12"/>
      <c r="E51" s="12"/>
      <c r="F51" s="12"/>
      <c r="G51" s="12"/>
      <c r="H51" s="12"/>
      <c r="I51" s="12"/>
      <c r="J51" s="12"/>
      <c r="K51" s="12"/>
      <c r="L51" s="12"/>
      <c r="M51" s="12"/>
      <c r="N51" s="12"/>
      <c r="O51" s="12"/>
      <c r="P51" s="12"/>
      <c r="Q51" s="12"/>
    </row>
    <row r="52" spans="1:17" ht="60" customHeight="1" x14ac:dyDescent="0.25">
      <c r="A52" s="9">
        <f>IF(F52="","",ROW()-19-COUNTBLANK($F$20:F52))</f>
        <v>27</v>
      </c>
      <c r="B52" s="4" t="s">
        <v>1653</v>
      </c>
      <c r="C52" s="4" t="s">
        <v>1654</v>
      </c>
      <c r="D52" s="4" t="s">
        <v>1660</v>
      </c>
      <c r="E52" s="7" t="s">
        <v>2213</v>
      </c>
      <c r="F52" s="7" t="s">
        <v>2214</v>
      </c>
      <c r="G52" s="3" t="s">
        <v>50</v>
      </c>
      <c r="H52" s="3"/>
      <c r="I52" s="3"/>
      <c r="J52" s="3"/>
      <c r="K52" s="3"/>
      <c r="L52" s="3"/>
      <c r="M52" s="3"/>
      <c r="N52" s="3"/>
      <c r="O52" s="3"/>
      <c r="P52" s="3"/>
      <c r="Q52" s="3"/>
    </row>
    <row r="53" spans="1:17" ht="60" customHeight="1" x14ac:dyDescent="0.25">
      <c r="A53" s="9">
        <f>IF(F53="","",ROW()-19-COUNTBLANK($F$20:F53))</f>
        <v>28</v>
      </c>
      <c r="B53" s="4" t="s">
        <v>1658</v>
      </c>
      <c r="C53" s="4" t="s">
        <v>1659</v>
      </c>
      <c r="D53" s="4" t="s">
        <v>1660</v>
      </c>
      <c r="E53" s="7" t="s">
        <v>2215</v>
      </c>
      <c r="F53" s="7" t="s">
        <v>1662</v>
      </c>
      <c r="G53" s="3" t="s">
        <v>55</v>
      </c>
      <c r="H53" s="3"/>
      <c r="I53" s="3"/>
      <c r="J53" s="3"/>
      <c r="K53" s="3"/>
      <c r="L53" s="3"/>
      <c r="M53" s="3"/>
      <c r="N53" s="3"/>
      <c r="O53" s="3"/>
      <c r="P53" s="3"/>
      <c r="Q53" s="3"/>
    </row>
    <row r="54" spans="1:17" ht="20.100000000000001" customHeight="1" x14ac:dyDescent="0.25">
      <c r="A54" s="9" t="str">
        <f>IF(F54="","",ROW()-19-COUNTBLANK($F$20:F54))</f>
        <v/>
      </c>
      <c r="B54" s="12" t="s">
        <v>1675</v>
      </c>
      <c r="C54" s="12"/>
      <c r="D54" s="12"/>
      <c r="E54" s="12"/>
      <c r="F54" s="12"/>
      <c r="G54" s="12"/>
      <c r="H54" s="12"/>
      <c r="I54" s="12"/>
      <c r="J54" s="12"/>
      <c r="K54" s="12"/>
      <c r="L54" s="12"/>
      <c r="M54" s="12"/>
      <c r="N54" s="12"/>
      <c r="O54" s="12"/>
      <c r="P54" s="12"/>
      <c r="Q54" s="12"/>
    </row>
    <row r="55" spans="1:17" ht="60" customHeight="1" x14ac:dyDescent="0.25">
      <c r="A55" s="9">
        <f>IF(F55="","",ROW()-19-COUNTBLANK($F$20:F55))</f>
        <v>29</v>
      </c>
      <c r="B55" s="4" t="s">
        <v>1676</v>
      </c>
      <c r="C55" s="4" t="s">
        <v>1677</v>
      </c>
      <c r="D55" s="4" t="s">
        <v>1678</v>
      </c>
      <c r="E55" s="7" t="s">
        <v>2216</v>
      </c>
      <c r="F55" s="7" t="s">
        <v>1680</v>
      </c>
      <c r="G55" s="3" t="s">
        <v>50</v>
      </c>
      <c r="H55" s="3"/>
      <c r="I55" s="3"/>
      <c r="J55" s="3"/>
      <c r="K55" s="3"/>
      <c r="L55" s="3"/>
      <c r="M55" s="3"/>
      <c r="N55" s="3"/>
      <c r="O55" s="3"/>
      <c r="P55" s="3"/>
      <c r="Q55" s="3"/>
    </row>
    <row r="56" spans="1:17" ht="60" customHeight="1" x14ac:dyDescent="0.25">
      <c r="A56" s="9">
        <f>IF(F56="","",ROW()-19-COUNTBLANK($F$20:F56))</f>
        <v>30</v>
      </c>
      <c r="B56" s="17" t="s">
        <v>1681</v>
      </c>
      <c r="C56" s="4" t="s">
        <v>1682</v>
      </c>
      <c r="D56" s="4" t="s">
        <v>1683</v>
      </c>
      <c r="E56" s="7" t="s">
        <v>2217</v>
      </c>
      <c r="F56" s="7" t="s">
        <v>1685</v>
      </c>
      <c r="G56" s="3" t="s">
        <v>55</v>
      </c>
      <c r="H56" s="3"/>
      <c r="I56" s="3"/>
      <c r="J56" s="3"/>
      <c r="K56" s="3"/>
      <c r="L56" s="3"/>
      <c r="M56" s="3"/>
      <c r="N56" s="3"/>
      <c r="O56" s="3"/>
      <c r="P56" s="3"/>
      <c r="Q56" s="3"/>
    </row>
    <row r="57" spans="1:17" ht="60" customHeight="1" x14ac:dyDescent="0.25">
      <c r="A57" s="9">
        <f>IF(F57="","",ROW()-19-COUNTBLANK($F$20:F57))</f>
        <v>31</v>
      </c>
      <c r="B57" s="19"/>
      <c r="C57" s="4" t="s">
        <v>1686</v>
      </c>
      <c r="D57" s="4" t="s">
        <v>1687</v>
      </c>
      <c r="E57" s="7" t="s">
        <v>2218</v>
      </c>
      <c r="F57" s="7" t="s">
        <v>1689</v>
      </c>
      <c r="G57" s="3" t="s">
        <v>55</v>
      </c>
      <c r="H57" s="3"/>
      <c r="I57" s="3"/>
      <c r="J57" s="3"/>
      <c r="K57" s="3"/>
      <c r="L57" s="3"/>
      <c r="M57" s="3"/>
      <c r="N57" s="3"/>
      <c r="O57" s="3"/>
      <c r="P57" s="3"/>
      <c r="Q57" s="3"/>
    </row>
    <row r="58" spans="1:17" ht="60" customHeight="1" x14ac:dyDescent="0.25">
      <c r="A58" s="9">
        <f>IF(F58="","",ROW()-19-COUNTBLANK($F$20:F58))</f>
        <v>32</v>
      </c>
      <c r="B58" s="4" t="s">
        <v>1690</v>
      </c>
      <c r="C58" s="4" t="s">
        <v>1691</v>
      </c>
      <c r="D58" s="4" t="s">
        <v>2219</v>
      </c>
      <c r="E58" s="7" t="s">
        <v>2220</v>
      </c>
      <c r="F58" s="7" t="s">
        <v>2221</v>
      </c>
      <c r="G58" s="3" t="s">
        <v>50</v>
      </c>
      <c r="H58" s="3"/>
      <c r="I58" s="3"/>
      <c r="J58" s="3"/>
      <c r="K58" s="3"/>
      <c r="L58" s="3"/>
      <c r="M58" s="3"/>
      <c r="N58" s="3"/>
      <c r="O58" s="3"/>
      <c r="P58" s="3"/>
      <c r="Q58" s="3"/>
    </row>
    <row r="59" spans="1:17" ht="60" customHeight="1" x14ac:dyDescent="0.25">
      <c r="A59" s="9">
        <f>IF(F59="","",ROW()-19-COUNTBLANK($F$20:F59))</f>
        <v>33</v>
      </c>
      <c r="B59" s="17" t="s">
        <v>1695</v>
      </c>
      <c r="C59" s="4" t="s">
        <v>1708</v>
      </c>
      <c r="D59" s="4" t="s">
        <v>1709</v>
      </c>
      <c r="E59" s="7" t="s">
        <v>2222</v>
      </c>
      <c r="F59" s="7" t="s">
        <v>1711</v>
      </c>
      <c r="G59" s="3" t="s">
        <v>55</v>
      </c>
      <c r="H59" s="3"/>
      <c r="I59" s="3"/>
      <c r="J59" s="3"/>
      <c r="K59" s="3"/>
      <c r="L59" s="3"/>
      <c r="M59" s="3"/>
      <c r="N59" s="3"/>
      <c r="O59" s="3"/>
      <c r="P59" s="3"/>
      <c r="Q59" s="3"/>
    </row>
    <row r="60" spans="1:17" ht="60" customHeight="1" x14ac:dyDescent="0.25">
      <c r="A60" s="9">
        <f>IF(F60="","",ROW()-19-COUNTBLANK($F$20:F60))</f>
        <v>34</v>
      </c>
      <c r="B60" s="18"/>
      <c r="C60" s="4" t="s">
        <v>1712</v>
      </c>
      <c r="D60" s="4" t="s">
        <v>1713</v>
      </c>
      <c r="E60" s="7" t="s">
        <v>2223</v>
      </c>
      <c r="F60" s="7" t="s">
        <v>1715</v>
      </c>
      <c r="G60" s="3" t="s">
        <v>55</v>
      </c>
      <c r="H60" s="3"/>
      <c r="I60" s="3"/>
      <c r="J60" s="3"/>
      <c r="K60" s="3"/>
      <c r="L60" s="3"/>
      <c r="M60" s="3"/>
      <c r="N60" s="3"/>
      <c r="O60" s="3"/>
      <c r="P60" s="3"/>
      <c r="Q60" s="3"/>
    </row>
    <row r="61" spans="1:17" ht="60" customHeight="1" x14ac:dyDescent="0.25">
      <c r="A61" s="9">
        <f>IF(F61="","",ROW()-19-COUNTBLANK($F$20:F61))</f>
        <v>35</v>
      </c>
      <c r="B61" s="18"/>
      <c r="C61" s="4" t="s">
        <v>1716</v>
      </c>
      <c r="D61" s="4" t="s">
        <v>1717</v>
      </c>
      <c r="E61" s="7" t="s">
        <v>2224</v>
      </c>
      <c r="F61" s="7" t="s">
        <v>1719</v>
      </c>
      <c r="G61" s="3" t="s">
        <v>55</v>
      </c>
      <c r="H61" s="3"/>
      <c r="I61" s="3"/>
      <c r="J61" s="3"/>
      <c r="K61" s="3"/>
      <c r="L61" s="3"/>
      <c r="M61" s="3"/>
      <c r="N61" s="3"/>
      <c r="O61" s="3"/>
      <c r="P61" s="3"/>
      <c r="Q61" s="3"/>
    </row>
    <row r="62" spans="1:17" ht="60" customHeight="1" x14ac:dyDescent="0.25">
      <c r="A62" s="9">
        <f>IF(F62="","",ROW()-19-COUNTBLANK($F$20:F62))</f>
        <v>36</v>
      </c>
      <c r="B62" s="19"/>
      <c r="C62" s="4" t="s">
        <v>1720</v>
      </c>
      <c r="D62" s="4" t="s">
        <v>1721</v>
      </c>
      <c r="E62" s="7" t="s">
        <v>2225</v>
      </c>
      <c r="F62" s="7" t="s">
        <v>1723</v>
      </c>
      <c r="G62" s="3" t="s">
        <v>55</v>
      </c>
      <c r="H62" s="3"/>
      <c r="I62" s="3"/>
      <c r="J62" s="3"/>
      <c r="K62" s="3"/>
      <c r="L62" s="3"/>
      <c r="M62" s="3"/>
      <c r="N62" s="3"/>
      <c r="O62" s="3"/>
      <c r="P62" s="3"/>
      <c r="Q62" s="3"/>
    </row>
    <row r="63" spans="1:17" ht="60" customHeight="1" x14ac:dyDescent="0.25">
      <c r="A63" s="9">
        <f>IF(F63="","",ROW()-19-COUNTBLANK($F$20:F63))</f>
        <v>37</v>
      </c>
      <c r="B63" s="4" t="s">
        <v>1736</v>
      </c>
      <c r="C63" s="4" t="s">
        <v>1737</v>
      </c>
      <c r="D63" s="4" t="s">
        <v>2226</v>
      </c>
      <c r="E63" s="7" t="s">
        <v>2227</v>
      </c>
      <c r="F63" s="7" t="s">
        <v>2228</v>
      </c>
      <c r="G63" s="3" t="s">
        <v>50</v>
      </c>
      <c r="H63" s="3"/>
      <c r="I63" s="3"/>
      <c r="J63" s="3"/>
      <c r="K63" s="3"/>
      <c r="L63" s="3"/>
      <c r="M63" s="3"/>
      <c r="N63" s="3"/>
      <c r="O63" s="3"/>
      <c r="P63" s="3"/>
      <c r="Q63" s="3"/>
    </row>
    <row r="64" spans="1:17" ht="60" customHeight="1" x14ac:dyDescent="0.25">
      <c r="A64" s="9">
        <f>IF(F64="","",ROW()-19-COUNTBLANK($F$20:F64))</f>
        <v>38</v>
      </c>
      <c r="B64" s="17" t="s">
        <v>1741</v>
      </c>
      <c r="C64" s="4" t="s">
        <v>1742</v>
      </c>
      <c r="D64" s="4" t="s">
        <v>1743</v>
      </c>
      <c r="E64" s="7" t="s">
        <v>2229</v>
      </c>
      <c r="F64" s="7" t="s">
        <v>1745</v>
      </c>
      <c r="G64" s="3" t="s">
        <v>55</v>
      </c>
      <c r="H64" s="3"/>
      <c r="I64" s="3"/>
      <c r="J64" s="3"/>
      <c r="K64" s="3"/>
      <c r="L64" s="3"/>
      <c r="M64" s="3"/>
      <c r="N64" s="3"/>
      <c r="O64" s="3"/>
      <c r="P64" s="3"/>
      <c r="Q64" s="3"/>
    </row>
    <row r="65" spans="1:17" ht="60" customHeight="1" x14ac:dyDescent="0.25">
      <c r="A65" s="9">
        <f>IF(F65="","",ROW()-19-COUNTBLANK($F$20:F65))</f>
        <v>39</v>
      </c>
      <c r="B65" s="18"/>
      <c r="C65" s="4" t="s">
        <v>1746</v>
      </c>
      <c r="D65" s="4" t="s">
        <v>1747</v>
      </c>
      <c r="E65" s="7" t="s">
        <v>2230</v>
      </c>
      <c r="F65" s="7" t="s">
        <v>1749</v>
      </c>
      <c r="G65" s="3" t="s">
        <v>55</v>
      </c>
      <c r="H65" s="3"/>
      <c r="I65" s="3"/>
      <c r="J65" s="3"/>
      <c r="K65" s="3"/>
      <c r="L65" s="3"/>
      <c r="M65" s="3"/>
      <c r="N65" s="3"/>
      <c r="O65" s="3"/>
      <c r="P65" s="3"/>
      <c r="Q65" s="3"/>
    </row>
    <row r="66" spans="1:17" ht="60" customHeight="1" x14ac:dyDescent="0.25">
      <c r="A66" s="9">
        <f>IF(F66="","",ROW()-19-COUNTBLANK($F$20:F66))</f>
        <v>40</v>
      </c>
      <c r="B66" s="18"/>
      <c r="C66" s="4" t="s">
        <v>1750</v>
      </c>
      <c r="D66" s="4" t="s">
        <v>1751</v>
      </c>
      <c r="E66" s="7" t="s">
        <v>2231</v>
      </c>
      <c r="F66" s="7" t="s">
        <v>1753</v>
      </c>
      <c r="G66" s="3" t="s">
        <v>55</v>
      </c>
      <c r="H66" s="3"/>
      <c r="I66" s="3"/>
      <c r="J66" s="3"/>
      <c r="K66" s="3"/>
      <c r="L66" s="3"/>
      <c r="M66" s="3"/>
      <c r="N66" s="3"/>
      <c r="O66" s="3"/>
      <c r="P66" s="3"/>
      <c r="Q66" s="3"/>
    </row>
    <row r="67" spans="1:17" ht="60" customHeight="1" x14ac:dyDescent="0.25">
      <c r="A67" s="9">
        <f>IF(F67="","",ROW()-19-COUNTBLANK($F$20:F67))</f>
        <v>41</v>
      </c>
      <c r="B67" s="19"/>
      <c r="C67" s="4" t="s">
        <v>1758</v>
      </c>
      <c r="D67" s="4" t="s">
        <v>1759</v>
      </c>
      <c r="E67" s="7" t="s">
        <v>2232</v>
      </c>
      <c r="F67" s="7" t="s">
        <v>1761</v>
      </c>
      <c r="G67" s="3" t="s">
        <v>55</v>
      </c>
      <c r="H67" s="3"/>
      <c r="I67" s="3"/>
      <c r="J67" s="3"/>
      <c r="K67" s="3"/>
      <c r="L67" s="3"/>
      <c r="M67" s="3"/>
      <c r="N67" s="3"/>
      <c r="O67" s="3"/>
      <c r="P67" s="3"/>
      <c r="Q67" s="3"/>
    </row>
    <row r="68" spans="1:17" ht="60" customHeight="1" x14ac:dyDescent="0.25">
      <c r="A68" s="9">
        <f>IF(F68="","",ROW()-19-COUNTBLANK($F$20:F68))</f>
        <v>42</v>
      </c>
      <c r="B68" s="4" t="s">
        <v>1766</v>
      </c>
      <c r="C68" s="4" t="s">
        <v>1767</v>
      </c>
      <c r="D68" s="4" t="s">
        <v>1768</v>
      </c>
      <c r="E68" s="7" t="s">
        <v>2233</v>
      </c>
      <c r="F68" s="7" t="s">
        <v>1770</v>
      </c>
      <c r="G68" s="3" t="s">
        <v>50</v>
      </c>
      <c r="H68" s="3"/>
      <c r="I68" s="3"/>
      <c r="J68" s="3"/>
      <c r="K68" s="3"/>
      <c r="L68" s="3"/>
      <c r="M68" s="3"/>
      <c r="N68" s="3"/>
      <c r="O68" s="3"/>
      <c r="P68" s="3"/>
      <c r="Q68" s="3"/>
    </row>
    <row r="69" spans="1:17" ht="60" customHeight="1" x14ac:dyDescent="0.25">
      <c r="A69" s="9">
        <f>IF(F69="","",ROW()-19-COUNTBLANK($F$20:F69))</f>
        <v>43</v>
      </c>
      <c r="B69" s="17" t="s">
        <v>1771</v>
      </c>
      <c r="C69" s="4" t="s">
        <v>1772</v>
      </c>
      <c r="D69" s="4" t="s">
        <v>1773</v>
      </c>
      <c r="E69" s="7" t="s">
        <v>2234</v>
      </c>
      <c r="F69" s="7" t="s">
        <v>1775</v>
      </c>
      <c r="G69" s="3" t="s">
        <v>55</v>
      </c>
      <c r="H69" s="3"/>
      <c r="I69" s="3"/>
      <c r="J69" s="3"/>
      <c r="K69" s="3"/>
      <c r="L69" s="3"/>
      <c r="M69" s="3"/>
      <c r="N69" s="3"/>
      <c r="O69" s="3"/>
      <c r="P69" s="3"/>
      <c r="Q69" s="3"/>
    </row>
    <row r="70" spans="1:17" ht="60" customHeight="1" x14ac:dyDescent="0.25">
      <c r="A70" s="9">
        <f>IF(F70="","",ROW()-19-COUNTBLANK($F$20:F70))</f>
        <v>44</v>
      </c>
      <c r="B70" s="19"/>
      <c r="C70" s="4" t="s">
        <v>1776</v>
      </c>
      <c r="D70" s="4" t="s">
        <v>1777</v>
      </c>
      <c r="E70" s="7" t="s">
        <v>2235</v>
      </c>
      <c r="F70" s="7" t="s">
        <v>1779</v>
      </c>
      <c r="G70" s="3" t="s">
        <v>55</v>
      </c>
      <c r="H70" s="3"/>
      <c r="I70" s="3"/>
      <c r="J70" s="3"/>
      <c r="K70" s="3"/>
      <c r="L70" s="3"/>
      <c r="M70" s="3"/>
      <c r="N70" s="3"/>
      <c r="O70" s="3"/>
      <c r="P70" s="3"/>
      <c r="Q70" s="3"/>
    </row>
    <row r="71" spans="1:17" ht="60" customHeight="1" x14ac:dyDescent="0.25">
      <c r="A71" s="9">
        <f>IF(F71="","",ROW()-19-COUNTBLANK($F$20:F71))</f>
        <v>45</v>
      </c>
      <c r="B71" s="4" t="s">
        <v>1780</v>
      </c>
      <c r="C71" s="4" t="s">
        <v>1781</v>
      </c>
      <c r="D71" s="4" t="s">
        <v>1782</v>
      </c>
      <c r="E71" s="7" t="s">
        <v>2236</v>
      </c>
      <c r="F71" s="7" t="s">
        <v>1784</v>
      </c>
      <c r="G71" s="3" t="s">
        <v>50</v>
      </c>
      <c r="H71" s="3"/>
      <c r="I71" s="3"/>
      <c r="J71" s="3"/>
      <c r="K71" s="3"/>
      <c r="L71" s="3"/>
      <c r="M71" s="3"/>
      <c r="N71" s="3"/>
      <c r="O71" s="3"/>
      <c r="P71" s="3"/>
      <c r="Q71" s="3"/>
    </row>
    <row r="72" spans="1:17" ht="60" customHeight="1" x14ac:dyDescent="0.25">
      <c r="A72" s="9">
        <f>IF(F72="","",ROW()-19-COUNTBLANK($F$20:F72))</f>
        <v>46</v>
      </c>
      <c r="B72" s="17" t="s">
        <v>1785</v>
      </c>
      <c r="C72" s="4" t="s">
        <v>1786</v>
      </c>
      <c r="D72" s="4" t="s">
        <v>1787</v>
      </c>
      <c r="E72" s="7" t="s">
        <v>2237</v>
      </c>
      <c r="F72" s="7" t="s">
        <v>1789</v>
      </c>
      <c r="G72" s="3" t="s">
        <v>55</v>
      </c>
      <c r="H72" s="3"/>
      <c r="I72" s="3"/>
      <c r="J72" s="3"/>
      <c r="K72" s="3"/>
      <c r="L72" s="3"/>
      <c r="M72" s="3"/>
      <c r="N72" s="3"/>
      <c r="O72" s="3"/>
      <c r="P72" s="3"/>
      <c r="Q72" s="3"/>
    </row>
    <row r="73" spans="1:17" ht="60" customHeight="1" x14ac:dyDescent="0.25">
      <c r="A73" s="9">
        <f>IF(F73="","",ROW()-19-COUNTBLANK($F$20:F73))</f>
        <v>47</v>
      </c>
      <c r="B73" s="18"/>
      <c r="C73" s="4" t="s">
        <v>1790</v>
      </c>
      <c r="D73" s="4" t="s">
        <v>1791</v>
      </c>
      <c r="E73" s="7" t="s">
        <v>2238</v>
      </c>
      <c r="F73" s="7" t="s">
        <v>1793</v>
      </c>
      <c r="G73" s="3" t="s">
        <v>55</v>
      </c>
      <c r="H73" s="3"/>
      <c r="I73" s="3"/>
      <c r="J73" s="3"/>
      <c r="K73" s="3"/>
      <c r="L73" s="3"/>
      <c r="M73" s="3"/>
      <c r="N73" s="3"/>
      <c r="O73" s="3"/>
      <c r="P73" s="3"/>
      <c r="Q73" s="3"/>
    </row>
    <row r="74" spans="1:17" ht="60" customHeight="1" x14ac:dyDescent="0.25">
      <c r="A74" s="9">
        <f>IF(F74="","",ROW()-19-COUNTBLANK($F$20:F74))</f>
        <v>48</v>
      </c>
      <c r="B74" s="19"/>
      <c r="C74" s="4" t="s">
        <v>1794</v>
      </c>
      <c r="D74" s="4" t="s">
        <v>1795</v>
      </c>
      <c r="E74" s="7" t="s">
        <v>2239</v>
      </c>
      <c r="F74" s="7" t="s">
        <v>1797</v>
      </c>
      <c r="G74" s="3" t="s">
        <v>55</v>
      </c>
      <c r="H74" s="3"/>
      <c r="I74" s="3"/>
      <c r="J74" s="3"/>
      <c r="K74" s="3"/>
      <c r="L74" s="3"/>
      <c r="M74" s="3"/>
      <c r="N74" s="3"/>
      <c r="O74" s="3"/>
      <c r="P74" s="3"/>
      <c r="Q74" s="3"/>
    </row>
    <row r="75" spans="1:17" ht="60" customHeight="1" x14ac:dyDescent="0.25">
      <c r="A75" s="9">
        <f>IF(F75="","",ROW()-19-COUNTBLANK($F$20:F75))</f>
        <v>49</v>
      </c>
      <c r="B75" s="4" t="s">
        <v>1798</v>
      </c>
      <c r="C75" s="4" t="s">
        <v>1799</v>
      </c>
      <c r="D75" s="4" t="s">
        <v>1805</v>
      </c>
      <c r="E75" s="7" t="s">
        <v>2240</v>
      </c>
      <c r="F75" s="7" t="s">
        <v>2241</v>
      </c>
      <c r="G75" s="3" t="s">
        <v>50</v>
      </c>
      <c r="H75" s="3"/>
      <c r="I75" s="3"/>
      <c r="J75" s="3"/>
      <c r="K75" s="3"/>
      <c r="L75" s="3"/>
      <c r="M75" s="3"/>
      <c r="N75" s="3"/>
      <c r="O75" s="3"/>
      <c r="P75" s="3"/>
      <c r="Q75" s="3"/>
    </row>
    <row r="76" spans="1:17" ht="60" customHeight="1" x14ac:dyDescent="0.25">
      <c r="A76" s="9">
        <f>IF(F76="","",ROW()-19-COUNTBLANK($F$20:F76))</f>
        <v>50</v>
      </c>
      <c r="B76" s="4" t="s">
        <v>1803</v>
      </c>
      <c r="C76" s="4" t="s">
        <v>1804</v>
      </c>
      <c r="D76" s="4" t="s">
        <v>1805</v>
      </c>
      <c r="E76" s="7" t="s">
        <v>2242</v>
      </c>
      <c r="F76" s="7" t="s">
        <v>1807</v>
      </c>
      <c r="G76" s="3" t="s">
        <v>55</v>
      </c>
      <c r="H76" s="3"/>
      <c r="I76" s="3"/>
      <c r="J76" s="3"/>
      <c r="K76" s="3"/>
      <c r="L76" s="3"/>
      <c r="M76" s="3"/>
      <c r="N76" s="3"/>
      <c r="O76" s="3"/>
      <c r="P76" s="3"/>
      <c r="Q76" s="3"/>
    </row>
    <row r="77" spans="1:17" ht="60" customHeight="1" x14ac:dyDescent="0.25">
      <c r="A77" s="9">
        <f>IF(F77="","",ROW()-19-COUNTBLANK($F$20:F77))</f>
        <v>51</v>
      </c>
      <c r="B77" s="4" t="s">
        <v>1812</v>
      </c>
      <c r="C77" s="4" t="s">
        <v>1813</v>
      </c>
      <c r="D77" s="4" t="s">
        <v>1709</v>
      </c>
      <c r="E77" s="7" t="s">
        <v>2243</v>
      </c>
      <c r="F77" s="7" t="s">
        <v>1815</v>
      </c>
      <c r="G77" s="3" t="s">
        <v>55</v>
      </c>
      <c r="H77" s="3"/>
      <c r="I77" s="3"/>
      <c r="J77" s="3"/>
      <c r="K77" s="3"/>
      <c r="L77" s="3"/>
      <c r="M77" s="3"/>
      <c r="N77" s="3"/>
      <c r="O77" s="3"/>
      <c r="P77" s="3"/>
      <c r="Q77" s="3"/>
    </row>
    <row r="78" spans="1:17" ht="20.100000000000001" customHeight="1" x14ac:dyDescent="0.25">
      <c r="A78" s="9" t="str">
        <f>IF(F78="","",ROW()-19-COUNTBLANK($F$20:F78))</f>
        <v/>
      </c>
      <c r="B78" s="12" t="s">
        <v>1816</v>
      </c>
      <c r="C78" s="12"/>
      <c r="D78" s="12"/>
      <c r="E78" s="12"/>
      <c r="F78" s="12"/>
      <c r="G78" s="12"/>
      <c r="H78" s="12"/>
      <c r="I78" s="12"/>
      <c r="J78" s="12"/>
      <c r="K78" s="12"/>
      <c r="L78" s="12"/>
      <c r="M78" s="12"/>
      <c r="N78" s="12"/>
      <c r="O78" s="12"/>
      <c r="P78" s="12"/>
      <c r="Q78" s="12"/>
    </row>
    <row r="79" spans="1:17" ht="60" customHeight="1" x14ac:dyDescent="0.25">
      <c r="A79" s="9">
        <f>IF(F79="","",ROW()-19-COUNTBLANK($F$20:F79))</f>
        <v>52</v>
      </c>
      <c r="B79" s="4" t="s">
        <v>1676</v>
      </c>
      <c r="C79" s="4" t="s">
        <v>1677</v>
      </c>
      <c r="D79" s="4" t="s">
        <v>1678</v>
      </c>
      <c r="E79" s="7" t="s">
        <v>2244</v>
      </c>
      <c r="F79" s="7" t="s">
        <v>1680</v>
      </c>
      <c r="G79" s="3" t="s">
        <v>50</v>
      </c>
      <c r="H79" s="3"/>
      <c r="I79" s="3"/>
      <c r="J79" s="3"/>
      <c r="K79" s="3"/>
      <c r="L79" s="3"/>
      <c r="M79" s="3"/>
      <c r="N79" s="3"/>
      <c r="O79" s="3"/>
      <c r="P79" s="3"/>
      <c r="Q79" s="3"/>
    </row>
    <row r="80" spans="1:17" ht="60" customHeight="1" x14ac:dyDescent="0.25">
      <c r="A80" s="9">
        <f>IF(F80="","",ROW()-19-COUNTBLANK($F$20:F80))</f>
        <v>53</v>
      </c>
      <c r="B80" s="17" t="s">
        <v>1818</v>
      </c>
      <c r="C80" s="4" t="s">
        <v>1682</v>
      </c>
      <c r="D80" s="4" t="s">
        <v>1683</v>
      </c>
      <c r="E80" s="7" t="s">
        <v>2245</v>
      </c>
      <c r="F80" s="7" t="s">
        <v>1685</v>
      </c>
      <c r="G80" s="3" t="s">
        <v>55</v>
      </c>
      <c r="H80" s="3"/>
      <c r="I80" s="3"/>
      <c r="J80" s="3"/>
      <c r="K80" s="3"/>
      <c r="L80" s="3"/>
      <c r="M80" s="3"/>
      <c r="N80" s="3"/>
      <c r="O80" s="3"/>
      <c r="P80" s="3"/>
      <c r="Q80" s="3"/>
    </row>
    <row r="81" spans="1:17" ht="60" customHeight="1" x14ac:dyDescent="0.25">
      <c r="A81" s="9">
        <f>IF(F81="","",ROW()-19-COUNTBLANK($F$20:F81))</f>
        <v>54</v>
      </c>
      <c r="B81" s="19"/>
      <c r="C81" s="4" t="s">
        <v>1686</v>
      </c>
      <c r="D81" s="4" t="s">
        <v>1687</v>
      </c>
      <c r="E81" s="7" t="s">
        <v>2246</v>
      </c>
      <c r="F81" s="7" t="s">
        <v>1689</v>
      </c>
      <c r="G81" s="3" t="s">
        <v>55</v>
      </c>
      <c r="H81" s="3"/>
      <c r="I81" s="3"/>
      <c r="J81" s="3"/>
      <c r="K81" s="3"/>
      <c r="L81" s="3"/>
      <c r="M81" s="3"/>
      <c r="N81" s="3"/>
      <c r="O81" s="3"/>
      <c r="P81" s="3"/>
      <c r="Q81" s="3"/>
    </row>
    <row r="82" spans="1:17" ht="60" customHeight="1" x14ac:dyDescent="0.25">
      <c r="A82" s="9">
        <f>IF(F82="","",ROW()-19-COUNTBLANK($F$20:F82))</f>
        <v>55</v>
      </c>
      <c r="B82" s="4" t="s">
        <v>1690</v>
      </c>
      <c r="C82" s="4" t="s">
        <v>1691</v>
      </c>
      <c r="D82" s="4" t="s">
        <v>1821</v>
      </c>
      <c r="E82" s="7" t="s">
        <v>2247</v>
      </c>
      <c r="F82" s="7" t="s">
        <v>1823</v>
      </c>
      <c r="G82" s="3" t="s">
        <v>50</v>
      </c>
      <c r="H82" s="3"/>
      <c r="I82" s="3"/>
      <c r="J82" s="3"/>
      <c r="K82" s="3"/>
      <c r="L82" s="3"/>
      <c r="M82" s="3"/>
      <c r="N82" s="3"/>
      <c r="O82" s="3"/>
      <c r="P82" s="3"/>
      <c r="Q82" s="3"/>
    </row>
    <row r="83" spans="1:17" ht="60" customHeight="1" x14ac:dyDescent="0.25">
      <c r="A83" s="9">
        <f>IF(F83="","",ROW()-19-COUNTBLANK($F$20:F83))</f>
        <v>56</v>
      </c>
      <c r="B83" s="17" t="s">
        <v>1824</v>
      </c>
      <c r="C83" s="4" t="s">
        <v>1825</v>
      </c>
      <c r="D83" s="4" t="s">
        <v>1826</v>
      </c>
      <c r="E83" s="7" t="s">
        <v>2248</v>
      </c>
      <c r="F83" s="7" t="s">
        <v>1828</v>
      </c>
      <c r="G83" s="3" t="s">
        <v>55</v>
      </c>
      <c r="H83" s="3"/>
      <c r="I83" s="3"/>
      <c r="J83" s="3"/>
      <c r="K83" s="3"/>
      <c r="L83" s="3"/>
      <c r="M83" s="3"/>
      <c r="N83" s="3"/>
      <c r="O83" s="3"/>
      <c r="P83" s="3"/>
      <c r="Q83" s="3"/>
    </row>
    <row r="84" spans="1:17" ht="60" customHeight="1" x14ac:dyDescent="0.25">
      <c r="A84" s="9">
        <f>IF(F84="","",ROW()-19-COUNTBLANK($F$20:F84))</f>
        <v>57</v>
      </c>
      <c r="B84" s="18"/>
      <c r="C84" s="4" t="s">
        <v>1829</v>
      </c>
      <c r="D84" s="4" t="s">
        <v>1830</v>
      </c>
      <c r="E84" s="7" t="s">
        <v>2249</v>
      </c>
      <c r="F84" s="7" t="s">
        <v>1832</v>
      </c>
      <c r="G84" s="3" t="s">
        <v>55</v>
      </c>
      <c r="H84" s="3"/>
      <c r="I84" s="3"/>
      <c r="J84" s="3"/>
      <c r="K84" s="3"/>
      <c r="L84" s="3"/>
      <c r="M84" s="3"/>
      <c r="N84" s="3"/>
      <c r="O84" s="3"/>
      <c r="P84" s="3"/>
      <c r="Q84" s="3"/>
    </row>
    <row r="85" spans="1:17" ht="60" customHeight="1" x14ac:dyDescent="0.25">
      <c r="A85" s="9">
        <f>IF(F85="","",ROW()-19-COUNTBLANK($F$20:F85))</f>
        <v>58</v>
      </c>
      <c r="B85" s="18"/>
      <c r="C85" s="4" t="s">
        <v>1833</v>
      </c>
      <c r="D85" s="4" t="s">
        <v>1834</v>
      </c>
      <c r="E85" s="7" t="s">
        <v>2250</v>
      </c>
      <c r="F85" s="7" t="s">
        <v>1836</v>
      </c>
      <c r="G85" s="3" t="s">
        <v>55</v>
      </c>
      <c r="H85" s="3"/>
      <c r="I85" s="3"/>
      <c r="J85" s="3"/>
      <c r="K85" s="3"/>
      <c r="L85" s="3"/>
      <c r="M85" s="3"/>
      <c r="N85" s="3"/>
      <c r="O85" s="3"/>
      <c r="P85" s="3"/>
      <c r="Q85" s="3"/>
    </row>
    <row r="86" spans="1:17" ht="60" customHeight="1" x14ac:dyDescent="0.25">
      <c r="A86" s="9">
        <f>IF(F86="","",ROW()-19-COUNTBLANK($F$20:F86))</f>
        <v>59</v>
      </c>
      <c r="B86" s="18"/>
      <c r="C86" s="4" t="s">
        <v>1837</v>
      </c>
      <c r="D86" s="4" t="s">
        <v>1838</v>
      </c>
      <c r="E86" s="7" t="s">
        <v>2251</v>
      </c>
      <c r="F86" s="7" t="s">
        <v>1840</v>
      </c>
      <c r="G86" s="3" t="s">
        <v>55</v>
      </c>
      <c r="H86" s="3"/>
      <c r="I86" s="3"/>
      <c r="J86" s="3"/>
      <c r="K86" s="3"/>
      <c r="L86" s="3"/>
      <c r="M86" s="3"/>
      <c r="N86" s="3"/>
      <c r="O86" s="3"/>
      <c r="P86" s="3"/>
      <c r="Q86" s="3"/>
    </row>
    <row r="87" spans="1:17" ht="60" customHeight="1" x14ac:dyDescent="0.25">
      <c r="A87" s="9">
        <f>IF(F87="","",ROW()-19-COUNTBLANK($F$20:F87))</f>
        <v>60</v>
      </c>
      <c r="B87" s="18"/>
      <c r="C87" s="4" t="s">
        <v>1841</v>
      </c>
      <c r="D87" s="4" t="s">
        <v>1842</v>
      </c>
      <c r="E87" s="7" t="s">
        <v>2252</v>
      </c>
      <c r="F87" s="7" t="s">
        <v>1844</v>
      </c>
      <c r="G87" s="3" t="s">
        <v>55</v>
      </c>
      <c r="H87" s="3"/>
      <c r="I87" s="3"/>
      <c r="J87" s="3"/>
      <c r="K87" s="3"/>
      <c r="L87" s="3"/>
      <c r="M87" s="3"/>
      <c r="N87" s="3"/>
      <c r="O87" s="3"/>
      <c r="P87" s="3"/>
      <c r="Q87" s="3"/>
    </row>
    <row r="88" spans="1:17" ht="60" customHeight="1" x14ac:dyDescent="0.25">
      <c r="A88" s="9">
        <f>IF(F88="","",ROW()-19-COUNTBLANK($F$20:F88))</f>
        <v>61</v>
      </c>
      <c r="B88" s="18"/>
      <c r="C88" s="4" t="s">
        <v>1845</v>
      </c>
      <c r="D88" s="4" t="s">
        <v>1846</v>
      </c>
      <c r="E88" s="7" t="s">
        <v>2253</v>
      </c>
      <c r="F88" s="7" t="s">
        <v>1848</v>
      </c>
      <c r="G88" s="3" t="s">
        <v>55</v>
      </c>
      <c r="H88" s="3"/>
      <c r="I88" s="3"/>
      <c r="J88" s="3"/>
      <c r="K88" s="3"/>
      <c r="L88" s="3"/>
      <c r="M88" s="3"/>
      <c r="N88" s="3"/>
      <c r="O88" s="3"/>
      <c r="P88" s="3"/>
      <c r="Q88" s="3"/>
    </row>
    <row r="89" spans="1:17" ht="60" customHeight="1" x14ac:dyDescent="0.25">
      <c r="A89" s="9">
        <f>IF(F89="","",ROW()-19-COUNTBLANK($F$20:F89))</f>
        <v>62</v>
      </c>
      <c r="B89" s="19"/>
      <c r="C89" s="4" t="s">
        <v>1849</v>
      </c>
      <c r="D89" s="4" t="s">
        <v>1850</v>
      </c>
      <c r="E89" s="7" t="s">
        <v>2254</v>
      </c>
      <c r="F89" s="7" t="s">
        <v>1852</v>
      </c>
      <c r="G89" s="3" t="s">
        <v>55</v>
      </c>
      <c r="H89" s="3"/>
      <c r="I89" s="3"/>
      <c r="J89" s="3"/>
      <c r="K89" s="3"/>
      <c r="L89" s="3"/>
      <c r="M89" s="3"/>
      <c r="N89" s="3"/>
      <c r="O89" s="3"/>
      <c r="P89" s="3"/>
      <c r="Q89" s="3"/>
    </row>
    <row r="90" spans="1:17" ht="60" customHeight="1" x14ac:dyDescent="0.25">
      <c r="A90" s="9">
        <f>IF(F90="","",ROW()-19-COUNTBLANK($F$20:F90))</f>
        <v>63</v>
      </c>
      <c r="B90" s="4" t="s">
        <v>1736</v>
      </c>
      <c r="C90" s="4" t="s">
        <v>1737</v>
      </c>
      <c r="D90" s="4" t="s">
        <v>2255</v>
      </c>
      <c r="E90" s="7" t="s">
        <v>2256</v>
      </c>
      <c r="F90" s="7" t="s">
        <v>2257</v>
      </c>
      <c r="G90" s="3" t="s">
        <v>50</v>
      </c>
      <c r="H90" s="3"/>
      <c r="I90" s="3"/>
      <c r="J90" s="3"/>
      <c r="K90" s="3"/>
      <c r="L90" s="3"/>
      <c r="M90" s="3"/>
      <c r="N90" s="3"/>
      <c r="O90" s="3"/>
      <c r="P90" s="3"/>
      <c r="Q90" s="3"/>
    </row>
    <row r="91" spans="1:17" ht="60" customHeight="1" x14ac:dyDescent="0.25">
      <c r="A91" s="9">
        <f>IF(F91="","",ROW()-19-COUNTBLANK($F$20:F91))</f>
        <v>64</v>
      </c>
      <c r="B91" s="17" t="s">
        <v>1856</v>
      </c>
      <c r="C91" s="4" t="s">
        <v>1857</v>
      </c>
      <c r="D91" s="4" t="s">
        <v>1858</v>
      </c>
      <c r="E91" s="7" t="s">
        <v>2258</v>
      </c>
      <c r="F91" s="7" t="s">
        <v>1860</v>
      </c>
      <c r="G91" s="3" t="s">
        <v>55</v>
      </c>
      <c r="H91" s="3"/>
      <c r="I91" s="3"/>
      <c r="J91" s="3"/>
      <c r="K91" s="3"/>
      <c r="L91" s="3"/>
      <c r="M91" s="3"/>
      <c r="N91" s="3"/>
      <c r="O91" s="3"/>
      <c r="P91" s="3"/>
      <c r="Q91" s="3"/>
    </row>
    <row r="92" spans="1:17" ht="60" customHeight="1" x14ac:dyDescent="0.25">
      <c r="A92" s="9">
        <f>IF(F92="","",ROW()-19-COUNTBLANK($F$20:F92))</f>
        <v>65</v>
      </c>
      <c r="B92" s="18"/>
      <c r="C92" s="4" t="s">
        <v>1861</v>
      </c>
      <c r="D92" s="4" t="s">
        <v>1862</v>
      </c>
      <c r="E92" s="7" t="s">
        <v>2259</v>
      </c>
      <c r="F92" s="7" t="s">
        <v>1864</v>
      </c>
      <c r="G92" s="3" t="s">
        <v>55</v>
      </c>
      <c r="H92" s="3"/>
      <c r="I92" s="3"/>
      <c r="J92" s="3"/>
      <c r="K92" s="3"/>
      <c r="L92" s="3"/>
      <c r="M92" s="3"/>
      <c r="N92" s="3"/>
      <c r="O92" s="3"/>
      <c r="P92" s="3"/>
      <c r="Q92" s="3"/>
    </row>
    <row r="93" spans="1:17" ht="60" customHeight="1" x14ac:dyDescent="0.25">
      <c r="A93" s="9">
        <f>IF(F93="","",ROW()-19-COUNTBLANK($F$20:F93))</f>
        <v>66</v>
      </c>
      <c r="B93" s="18"/>
      <c r="C93" s="4" t="s">
        <v>1865</v>
      </c>
      <c r="D93" s="4" t="s">
        <v>1866</v>
      </c>
      <c r="E93" s="7" t="s">
        <v>2260</v>
      </c>
      <c r="F93" s="7" t="s">
        <v>1868</v>
      </c>
      <c r="G93" s="3" t="s">
        <v>55</v>
      </c>
      <c r="H93" s="3"/>
      <c r="I93" s="3"/>
      <c r="J93" s="3"/>
      <c r="K93" s="3"/>
      <c r="L93" s="3"/>
      <c r="M93" s="3"/>
      <c r="N93" s="3"/>
      <c r="O93" s="3"/>
      <c r="P93" s="3"/>
      <c r="Q93" s="3"/>
    </row>
    <row r="94" spans="1:17" ht="60" customHeight="1" x14ac:dyDescent="0.25">
      <c r="A94" s="9">
        <f>IF(F94="","",ROW()-19-COUNTBLANK($F$20:F94))</f>
        <v>67</v>
      </c>
      <c r="B94" s="18"/>
      <c r="C94" s="4" t="s">
        <v>1869</v>
      </c>
      <c r="D94" s="4" t="s">
        <v>1870</v>
      </c>
      <c r="E94" s="7" t="s">
        <v>2261</v>
      </c>
      <c r="F94" s="7" t="s">
        <v>1872</v>
      </c>
      <c r="G94" s="3" t="s">
        <v>55</v>
      </c>
      <c r="H94" s="3"/>
      <c r="I94" s="3"/>
      <c r="J94" s="3"/>
      <c r="K94" s="3"/>
      <c r="L94" s="3"/>
      <c r="M94" s="3"/>
      <c r="N94" s="3"/>
      <c r="O94" s="3"/>
      <c r="P94" s="3"/>
      <c r="Q94" s="3"/>
    </row>
    <row r="95" spans="1:17" ht="60" customHeight="1" x14ac:dyDescent="0.25">
      <c r="A95" s="9">
        <f>IF(F95="","",ROW()-19-COUNTBLANK($F$20:F95))</f>
        <v>68</v>
      </c>
      <c r="B95" s="18"/>
      <c r="C95" s="4" t="s">
        <v>1873</v>
      </c>
      <c r="D95" s="4" t="s">
        <v>1874</v>
      </c>
      <c r="E95" s="7" t="s">
        <v>2262</v>
      </c>
      <c r="F95" s="7" t="s">
        <v>1876</v>
      </c>
      <c r="G95" s="3" t="s">
        <v>55</v>
      </c>
      <c r="H95" s="3"/>
      <c r="I95" s="3"/>
      <c r="J95" s="3"/>
      <c r="K95" s="3"/>
      <c r="L95" s="3"/>
      <c r="M95" s="3"/>
      <c r="N95" s="3"/>
      <c r="O95" s="3"/>
      <c r="P95" s="3"/>
      <c r="Q95" s="3"/>
    </row>
    <row r="96" spans="1:17" ht="60" customHeight="1" x14ac:dyDescent="0.25">
      <c r="A96" s="9">
        <f>IF(F96="","",ROW()-19-COUNTBLANK($F$20:F96))</f>
        <v>69</v>
      </c>
      <c r="B96" s="19"/>
      <c r="C96" s="4" t="s">
        <v>1881</v>
      </c>
      <c r="D96" s="4" t="s">
        <v>1882</v>
      </c>
      <c r="E96" s="7" t="s">
        <v>2263</v>
      </c>
      <c r="F96" s="7" t="s">
        <v>1884</v>
      </c>
      <c r="G96" s="3" t="s">
        <v>55</v>
      </c>
      <c r="H96" s="3"/>
      <c r="I96" s="3"/>
      <c r="J96" s="3"/>
      <c r="K96" s="3"/>
      <c r="L96" s="3"/>
      <c r="M96" s="3"/>
      <c r="N96" s="3"/>
      <c r="O96" s="3"/>
      <c r="P96" s="3"/>
      <c r="Q96" s="3"/>
    </row>
    <row r="97" spans="1:17" ht="60" customHeight="1" x14ac:dyDescent="0.25">
      <c r="A97" s="9">
        <f>IF(F97="","",ROW()-19-COUNTBLANK($F$20:F97))</f>
        <v>70</v>
      </c>
      <c r="B97" s="4" t="s">
        <v>1889</v>
      </c>
      <c r="C97" s="4" t="s">
        <v>1890</v>
      </c>
      <c r="D97" s="4" t="s">
        <v>1891</v>
      </c>
      <c r="E97" s="7" t="s">
        <v>2264</v>
      </c>
      <c r="F97" s="7" t="s">
        <v>1893</v>
      </c>
      <c r="G97" s="3" t="s">
        <v>50</v>
      </c>
      <c r="H97" s="3"/>
      <c r="I97" s="3"/>
      <c r="J97" s="3"/>
      <c r="K97" s="3"/>
      <c r="L97" s="3"/>
      <c r="M97" s="3"/>
      <c r="N97" s="3"/>
      <c r="O97" s="3"/>
      <c r="P97" s="3"/>
      <c r="Q97" s="3"/>
    </row>
    <row r="98" spans="1:17" ht="60" customHeight="1" x14ac:dyDescent="0.25">
      <c r="A98" s="9">
        <f>IF(F98="","",ROW()-19-COUNTBLANK($F$20:F98))</f>
        <v>71</v>
      </c>
      <c r="B98" s="17" t="s">
        <v>1894</v>
      </c>
      <c r="C98" s="4" t="s">
        <v>1895</v>
      </c>
      <c r="D98" s="4" t="s">
        <v>1896</v>
      </c>
      <c r="E98" s="7" t="s">
        <v>2265</v>
      </c>
      <c r="F98" s="7" t="s">
        <v>1898</v>
      </c>
      <c r="G98" s="3" t="s">
        <v>55</v>
      </c>
      <c r="H98" s="3"/>
      <c r="I98" s="3"/>
      <c r="J98" s="3"/>
      <c r="K98" s="3"/>
      <c r="L98" s="3"/>
      <c r="M98" s="3"/>
      <c r="N98" s="3"/>
      <c r="O98" s="3"/>
      <c r="P98" s="3"/>
      <c r="Q98" s="3"/>
    </row>
    <row r="99" spans="1:17" ht="60" customHeight="1" x14ac:dyDescent="0.25">
      <c r="A99" s="9">
        <f>IF(F99="","",ROW()-19-COUNTBLANK($F$20:F99))</f>
        <v>72</v>
      </c>
      <c r="B99" s="19"/>
      <c r="C99" s="4" t="s">
        <v>1899</v>
      </c>
      <c r="D99" s="4" t="s">
        <v>1900</v>
      </c>
      <c r="E99" s="7" t="s">
        <v>2266</v>
      </c>
      <c r="F99" s="7" t="s">
        <v>1902</v>
      </c>
      <c r="G99" s="3" t="s">
        <v>55</v>
      </c>
      <c r="H99" s="3"/>
      <c r="I99" s="3"/>
      <c r="J99" s="3"/>
      <c r="K99" s="3"/>
      <c r="L99" s="3"/>
      <c r="M99" s="3"/>
      <c r="N99" s="3"/>
      <c r="O99" s="3"/>
      <c r="P99" s="3"/>
      <c r="Q99" s="3"/>
    </row>
    <row r="100" spans="1:17" ht="60" customHeight="1" x14ac:dyDescent="0.25">
      <c r="A100" s="9">
        <f>IF(F100="","",ROW()-19-COUNTBLANK($F$20:F100))</f>
        <v>73</v>
      </c>
      <c r="B100" s="4" t="s">
        <v>1798</v>
      </c>
      <c r="C100" s="4" t="s">
        <v>1799</v>
      </c>
      <c r="D100" s="4" t="s">
        <v>1925</v>
      </c>
      <c r="E100" s="7" t="s">
        <v>2267</v>
      </c>
      <c r="F100" s="7" t="s">
        <v>1927</v>
      </c>
      <c r="G100" s="3" t="s">
        <v>50</v>
      </c>
      <c r="H100" s="3"/>
      <c r="I100" s="3"/>
      <c r="J100" s="3"/>
      <c r="K100" s="3"/>
      <c r="L100" s="3"/>
      <c r="M100" s="3"/>
      <c r="N100" s="3"/>
      <c r="O100" s="3"/>
      <c r="P100" s="3"/>
      <c r="Q100" s="3"/>
    </row>
    <row r="101" spans="1:17" ht="60" customHeight="1" x14ac:dyDescent="0.25">
      <c r="A101" s="9">
        <f>IF(F101="","",ROW()-19-COUNTBLANK($F$20:F101))</f>
        <v>74</v>
      </c>
      <c r="B101" s="4" t="s">
        <v>1928</v>
      </c>
      <c r="C101" s="4" t="s">
        <v>1929</v>
      </c>
      <c r="D101" s="4" t="s">
        <v>1925</v>
      </c>
      <c r="E101" s="7" t="s">
        <v>2268</v>
      </c>
      <c r="F101" s="7" t="s">
        <v>1931</v>
      </c>
      <c r="G101" s="3" t="s">
        <v>55</v>
      </c>
      <c r="H101" s="3"/>
      <c r="I101" s="3"/>
      <c r="J101" s="3"/>
      <c r="K101" s="3"/>
      <c r="L101" s="3"/>
      <c r="M101" s="3"/>
      <c r="N101" s="3"/>
      <c r="O101" s="3"/>
      <c r="P101" s="3"/>
      <c r="Q101" s="3"/>
    </row>
    <row r="102" spans="1:17" ht="60" customHeight="1" x14ac:dyDescent="0.25">
      <c r="A102" s="9">
        <f>IF(F102="","",ROW()-19-COUNTBLANK($F$20:F102))</f>
        <v>75</v>
      </c>
      <c r="B102" s="4" t="s">
        <v>1812</v>
      </c>
      <c r="C102" s="4" t="s">
        <v>1813</v>
      </c>
      <c r="D102" s="4" t="s">
        <v>1826</v>
      </c>
      <c r="E102" s="7" t="s">
        <v>2269</v>
      </c>
      <c r="F102" s="7" t="s">
        <v>1815</v>
      </c>
      <c r="G102" s="3" t="s">
        <v>55</v>
      </c>
      <c r="H102" s="3"/>
      <c r="I102" s="3"/>
      <c r="J102" s="3"/>
      <c r="K102" s="3"/>
      <c r="L102" s="3"/>
      <c r="M102" s="3"/>
      <c r="N102" s="3"/>
      <c r="O102" s="3"/>
      <c r="P102" s="3"/>
      <c r="Q102" s="3"/>
    </row>
    <row r="103" spans="1:17" ht="20.100000000000001" customHeight="1" x14ac:dyDescent="0.25">
      <c r="A103" s="9" t="str">
        <f>IF(F103="","",ROW()-19-COUNTBLANK($F$20:F103))</f>
        <v/>
      </c>
      <c r="B103" s="12" t="s">
        <v>1988</v>
      </c>
      <c r="C103" s="12"/>
      <c r="D103" s="12"/>
      <c r="E103" s="12"/>
      <c r="F103" s="12"/>
      <c r="G103" s="12"/>
      <c r="H103" s="12"/>
      <c r="I103" s="12"/>
      <c r="J103" s="12"/>
      <c r="K103" s="12"/>
      <c r="L103" s="12"/>
      <c r="M103" s="12"/>
      <c r="N103" s="12"/>
      <c r="O103" s="12"/>
      <c r="P103" s="12"/>
      <c r="Q103" s="12"/>
    </row>
    <row r="104" spans="1:17" ht="20.100000000000001" customHeight="1" x14ac:dyDescent="0.25">
      <c r="A104" s="9" t="str">
        <f>IF(F104="","",ROW()-19-COUNTBLANK($F$20:F104))</f>
        <v/>
      </c>
      <c r="B104" s="12" t="s">
        <v>1060</v>
      </c>
      <c r="C104" s="12"/>
      <c r="D104" s="12"/>
      <c r="E104" s="12"/>
      <c r="F104" s="12"/>
      <c r="G104" s="12"/>
      <c r="H104" s="12"/>
      <c r="I104" s="12"/>
      <c r="J104" s="12"/>
      <c r="K104" s="12"/>
      <c r="L104" s="12"/>
      <c r="M104" s="12"/>
      <c r="N104" s="12"/>
      <c r="O104" s="12"/>
      <c r="P104" s="12"/>
      <c r="Q104" s="12"/>
    </row>
    <row r="105" spans="1:17" ht="60" customHeight="1" x14ac:dyDescent="0.25">
      <c r="A105" s="9">
        <f>IF(F105="","",ROW()-19-COUNTBLANK($F$20:F105))</f>
        <v>76</v>
      </c>
      <c r="B105" s="4" t="s">
        <v>216</v>
      </c>
      <c r="C105" s="4" t="s">
        <v>1061</v>
      </c>
      <c r="D105" s="4"/>
      <c r="E105" s="7" t="s">
        <v>2270</v>
      </c>
      <c r="F105" s="7" t="s">
        <v>1990</v>
      </c>
      <c r="G105" s="3" t="s">
        <v>55</v>
      </c>
      <c r="H105" s="3"/>
      <c r="I105" s="3"/>
      <c r="J105" s="3"/>
      <c r="K105" s="3"/>
      <c r="L105" s="3"/>
      <c r="M105" s="3"/>
      <c r="N105" s="3"/>
      <c r="O105" s="3"/>
      <c r="P105" s="3"/>
      <c r="Q105" s="3"/>
    </row>
    <row r="106" spans="1:17" ht="60" customHeight="1" x14ac:dyDescent="0.25">
      <c r="A106" s="9">
        <f>IF(F106="","",ROW()-19-COUNTBLANK($F$20:F106))</f>
        <v>77</v>
      </c>
      <c r="B106" s="4" t="s">
        <v>1064</v>
      </c>
      <c r="C106" s="4" t="s">
        <v>1065</v>
      </c>
      <c r="D106" s="4"/>
      <c r="E106" s="7" t="s">
        <v>2271</v>
      </c>
      <c r="F106" s="7" t="s">
        <v>1067</v>
      </c>
      <c r="G106" s="3" t="s">
        <v>55</v>
      </c>
      <c r="H106" s="3"/>
      <c r="I106" s="3"/>
      <c r="J106" s="3"/>
      <c r="K106" s="3"/>
      <c r="L106" s="3"/>
      <c r="M106" s="3"/>
      <c r="N106" s="3"/>
      <c r="O106" s="3"/>
      <c r="P106" s="3"/>
      <c r="Q106" s="3"/>
    </row>
    <row r="107" spans="1:17" ht="60" customHeight="1" x14ac:dyDescent="0.25">
      <c r="A107" s="9">
        <f>IF(F107="","",ROW()-19-COUNTBLANK($F$20:F107))</f>
        <v>78</v>
      </c>
      <c r="B107" s="4" t="s">
        <v>1068</v>
      </c>
      <c r="C107" s="4" t="s">
        <v>1069</v>
      </c>
      <c r="D107" s="4"/>
      <c r="E107" s="7" t="s">
        <v>2272</v>
      </c>
      <c r="F107" s="7" t="s">
        <v>1071</v>
      </c>
      <c r="G107" s="3" t="s">
        <v>73</v>
      </c>
      <c r="H107" s="3"/>
      <c r="I107" s="3"/>
      <c r="J107" s="3"/>
      <c r="K107" s="3"/>
      <c r="L107" s="3"/>
      <c r="M107" s="3"/>
      <c r="N107" s="3"/>
      <c r="O107" s="3"/>
      <c r="P107" s="3"/>
      <c r="Q107" s="3"/>
    </row>
    <row r="108" spans="1:17" ht="60" customHeight="1" x14ac:dyDescent="0.25">
      <c r="A108" s="9">
        <f>IF(F108="","",ROW()-19-COUNTBLANK($F$20:F108))</f>
        <v>79</v>
      </c>
      <c r="B108" s="4" t="s">
        <v>1072</v>
      </c>
      <c r="C108" s="4" t="s">
        <v>1073</v>
      </c>
      <c r="D108" s="4"/>
      <c r="E108" s="7" t="s">
        <v>2270</v>
      </c>
      <c r="F108" s="7" t="s">
        <v>1074</v>
      </c>
      <c r="G108" s="3" t="s">
        <v>73</v>
      </c>
      <c r="H108" s="3"/>
      <c r="I108" s="3"/>
      <c r="J108" s="3"/>
      <c r="K108" s="3"/>
      <c r="L108" s="3"/>
      <c r="M108" s="3"/>
      <c r="N108" s="3"/>
      <c r="O108" s="3"/>
      <c r="P108" s="3"/>
      <c r="Q108" s="3"/>
    </row>
    <row r="109" spans="1:17" ht="20.100000000000001" customHeight="1" x14ac:dyDescent="0.25">
      <c r="A109" s="9" t="str">
        <f>IF(F109="","",ROW()-19-COUNTBLANK($F$20:F109))</f>
        <v/>
      </c>
      <c r="B109" s="12" t="s">
        <v>1993</v>
      </c>
      <c r="C109" s="12"/>
      <c r="D109" s="12"/>
      <c r="E109" s="12"/>
      <c r="F109" s="12"/>
      <c r="G109" s="12"/>
      <c r="H109" s="12"/>
      <c r="I109" s="12"/>
      <c r="J109" s="12"/>
      <c r="K109" s="12"/>
      <c r="L109" s="12"/>
      <c r="M109" s="12"/>
      <c r="N109" s="12"/>
      <c r="O109" s="12"/>
      <c r="P109" s="12"/>
      <c r="Q109" s="12"/>
    </row>
    <row r="110" spans="1:17" ht="60" customHeight="1" x14ac:dyDescent="0.25">
      <c r="A110" s="9">
        <f>IF(F110="","",ROW()-19-COUNTBLANK($F$20:F110))</f>
        <v>80</v>
      </c>
      <c r="B110" s="4" t="s">
        <v>216</v>
      </c>
      <c r="C110" s="4" t="s">
        <v>1994</v>
      </c>
      <c r="D110" s="4"/>
      <c r="E110" s="7" t="s">
        <v>2273</v>
      </c>
      <c r="F110" s="7" t="s">
        <v>1996</v>
      </c>
      <c r="G110" s="3" t="s">
        <v>55</v>
      </c>
      <c r="H110" s="3"/>
      <c r="I110" s="3"/>
      <c r="J110" s="3"/>
      <c r="K110" s="3"/>
      <c r="L110" s="3"/>
      <c r="M110" s="3"/>
      <c r="N110" s="3"/>
      <c r="O110" s="3"/>
      <c r="P110" s="3"/>
      <c r="Q110" s="3"/>
    </row>
    <row r="111" spans="1:17" ht="60" customHeight="1" x14ac:dyDescent="0.25">
      <c r="A111" s="9">
        <f>IF(F111="","",ROW()-19-COUNTBLANK($F$20:F111))</f>
        <v>81</v>
      </c>
      <c r="B111" s="4" t="s">
        <v>1064</v>
      </c>
      <c r="C111" s="4" t="s">
        <v>1997</v>
      </c>
      <c r="D111" s="4"/>
      <c r="E111" s="7" t="s">
        <v>2274</v>
      </c>
      <c r="F111" s="7" t="s">
        <v>1067</v>
      </c>
      <c r="G111" s="3" t="s">
        <v>55</v>
      </c>
      <c r="H111" s="3"/>
      <c r="I111" s="3"/>
      <c r="J111" s="3"/>
      <c r="K111" s="3"/>
      <c r="L111" s="3"/>
      <c r="M111" s="3"/>
      <c r="N111" s="3"/>
      <c r="O111" s="3"/>
      <c r="P111" s="3"/>
      <c r="Q111" s="3"/>
    </row>
    <row r="112" spans="1:17" ht="60" customHeight="1" x14ac:dyDescent="0.25">
      <c r="A112" s="9">
        <f>IF(F112="","",ROW()-19-COUNTBLANK($F$20:F112))</f>
        <v>82</v>
      </c>
      <c r="B112" s="4" t="s">
        <v>1068</v>
      </c>
      <c r="C112" s="4" t="s">
        <v>1999</v>
      </c>
      <c r="D112" s="4"/>
      <c r="E112" s="7" t="s">
        <v>2275</v>
      </c>
      <c r="F112" s="7" t="s">
        <v>2001</v>
      </c>
      <c r="G112" s="3" t="s">
        <v>73</v>
      </c>
      <c r="H112" s="3"/>
      <c r="I112" s="3"/>
      <c r="J112" s="3"/>
      <c r="K112" s="3"/>
      <c r="L112" s="3"/>
      <c r="M112" s="3"/>
      <c r="N112" s="3"/>
      <c r="O112" s="3"/>
      <c r="P112" s="3"/>
      <c r="Q112" s="3"/>
    </row>
    <row r="113" spans="1:17" ht="60" customHeight="1" x14ac:dyDescent="0.25">
      <c r="A113" s="9">
        <f>IF(F113="","",ROW()-19-COUNTBLANK($F$20:F113))</f>
        <v>83</v>
      </c>
      <c r="B113" s="4" t="s">
        <v>1072</v>
      </c>
      <c r="C113" s="4" t="s">
        <v>2002</v>
      </c>
      <c r="D113" s="4"/>
      <c r="E113" s="7" t="s">
        <v>2273</v>
      </c>
      <c r="F113" s="7" t="s">
        <v>1074</v>
      </c>
      <c r="G113" s="3" t="s">
        <v>73</v>
      </c>
      <c r="H113" s="3"/>
      <c r="I113" s="3"/>
      <c r="J113" s="3"/>
      <c r="K113" s="3"/>
      <c r="L113" s="3"/>
      <c r="M113" s="3"/>
      <c r="N113" s="3"/>
      <c r="O113" s="3"/>
      <c r="P113" s="3"/>
      <c r="Q113" s="3"/>
    </row>
    <row r="114" spans="1:17" ht="20.100000000000001" customHeight="1" x14ac:dyDescent="0.25">
      <c r="A114" s="9" t="str">
        <f>IF(F114="","",ROW()-19-COUNTBLANK($F$20:F114))</f>
        <v/>
      </c>
      <c r="B114" s="12" t="s">
        <v>1195</v>
      </c>
      <c r="C114" s="12"/>
      <c r="D114" s="12"/>
      <c r="E114" s="12"/>
      <c r="F114" s="12"/>
      <c r="G114" s="12"/>
      <c r="H114" s="12"/>
      <c r="I114" s="12"/>
      <c r="J114" s="12"/>
      <c r="K114" s="12"/>
      <c r="L114" s="12"/>
      <c r="M114" s="12"/>
      <c r="N114" s="12"/>
      <c r="O114" s="12"/>
      <c r="P114" s="12"/>
      <c r="Q114" s="12"/>
    </row>
    <row r="115" spans="1:17" ht="60" customHeight="1" x14ac:dyDescent="0.25">
      <c r="A115" s="9">
        <f>IF(F115="","",ROW()-19-COUNTBLANK($F$20:F115))</f>
        <v>84</v>
      </c>
      <c r="B115" s="4" t="s">
        <v>216</v>
      </c>
      <c r="C115" s="4" t="s">
        <v>1196</v>
      </c>
      <c r="D115" s="4"/>
      <c r="E115" s="7" t="s">
        <v>2276</v>
      </c>
      <c r="F115" s="7" t="s">
        <v>2004</v>
      </c>
      <c r="G115" s="3" t="s">
        <v>55</v>
      </c>
      <c r="H115" s="3"/>
      <c r="I115" s="3"/>
      <c r="J115" s="3"/>
      <c r="K115" s="3"/>
      <c r="L115" s="3"/>
      <c r="M115" s="3"/>
      <c r="N115" s="3"/>
      <c r="O115" s="3"/>
      <c r="P115" s="3"/>
      <c r="Q115" s="3"/>
    </row>
    <row r="116" spans="1:17" ht="60" customHeight="1" x14ac:dyDescent="0.25">
      <c r="A116" s="9">
        <f>IF(F116="","",ROW()-19-COUNTBLANK($F$20:F116))</f>
        <v>85</v>
      </c>
      <c r="B116" s="4" t="s">
        <v>1064</v>
      </c>
      <c r="C116" s="4" t="s">
        <v>1199</v>
      </c>
      <c r="D116" s="4"/>
      <c r="E116" s="7" t="s">
        <v>2277</v>
      </c>
      <c r="F116" s="7" t="s">
        <v>1067</v>
      </c>
      <c r="G116" s="3" t="s">
        <v>55</v>
      </c>
      <c r="H116" s="3"/>
      <c r="I116" s="3"/>
      <c r="J116" s="3"/>
      <c r="K116" s="3"/>
      <c r="L116" s="3"/>
      <c r="M116" s="3"/>
      <c r="N116" s="3"/>
      <c r="O116" s="3"/>
      <c r="P116" s="3"/>
      <c r="Q116" s="3"/>
    </row>
    <row r="117" spans="1:17" ht="60" customHeight="1" x14ac:dyDescent="0.25">
      <c r="A117" s="9">
        <f>IF(F117="","",ROW()-19-COUNTBLANK($F$20:F117))</f>
        <v>86</v>
      </c>
      <c r="B117" s="4" t="s">
        <v>1068</v>
      </c>
      <c r="C117" s="4" t="s">
        <v>2006</v>
      </c>
      <c r="D117" s="4"/>
      <c r="E117" s="7" t="s">
        <v>2278</v>
      </c>
      <c r="F117" s="7" t="s">
        <v>2008</v>
      </c>
      <c r="G117" s="3" t="s">
        <v>73</v>
      </c>
      <c r="H117" s="3"/>
      <c r="I117" s="3"/>
      <c r="J117" s="3"/>
      <c r="K117" s="3"/>
      <c r="L117" s="3"/>
      <c r="M117" s="3"/>
      <c r="N117" s="3"/>
      <c r="O117" s="3"/>
      <c r="P117" s="3"/>
      <c r="Q117" s="3"/>
    </row>
    <row r="118" spans="1:17" ht="60" customHeight="1" x14ac:dyDescent="0.25">
      <c r="A118" s="9">
        <f>IF(F118="","",ROW()-19-COUNTBLANK($F$20:F118))</f>
        <v>87</v>
      </c>
      <c r="B118" s="4" t="s">
        <v>1072</v>
      </c>
      <c r="C118" s="4" t="s">
        <v>1203</v>
      </c>
      <c r="D118" s="4"/>
      <c r="E118" s="7" t="s">
        <v>2276</v>
      </c>
      <c r="F118" s="7" t="s">
        <v>1095</v>
      </c>
      <c r="G118" s="3" t="s">
        <v>73</v>
      </c>
      <c r="H118" s="3"/>
      <c r="I118" s="3"/>
      <c r="J118" s="3"/>
      <c r="K118" s="3"/>
      <c r="L118" s="3"/>
      <c r="M118" s="3"/>
      <c r="N118" s="3"/>
      <c r="O118" s="3"/>
      <c r="P118" s="3"/>
      <c r="Q118" s="3"/>
    </row>
    <row r="119" spans="1:17" ht="20.100000000000001" customHeight="1" x14ac:dyDescent="0.25">
      <c r="A119" s="9" t="str">
        <f>IF(F119="","",ROW()-19-COUNTBLANK($F$20:F119))</f>
        <v/>
      </c>
      <c r="B119" s="12" t="s">
        <v>2009</v>
      </c>
      <c r="C119" s="12"/>
      <c r="D119" s="12"/>
      <c r="E119" s="12"/>
      <c r="F119" s="12"/>
      <c r="G119" s="12"/>
      <c r="H119" s="12"/>
      <c r="I119" s="12"/>
      <c r="J119" s="12"/>
      <c r="K119" s="12"/>
      <c r="L119" s="12"/>
      <c r="M119" s="12"/>
      <c r="N119" s="12"/>
      <c r="O119" s="12"/>
      <c r="P119" s="12"/>
      <c r="Q119" s="12"/>
    </row>
    <row r="120" spans="1:17" ht="60" customHeight="1" x14ac:dyDescent="0.25">
      <c r="A120" s="9">
        <f>IF(F120="","",ROW()-19-COUNTBLANK($F$20:F120))</f>
        <v>88</v>
      </c>
      <c r="B120" s="4" t="s">
        <v>216</v>
      </c>
      <c r="C120" s="4" t="s">
        <v>2010</v>
      </c>
      <c r="D120" s="4"/>
      <c r="E120" s="7" t="s">
        <v>2279</v>
      </c>
      <c r="F120" s="7" t="s">
        <v>2012</v>
      </c>
      <c r="G120" s="3" t="s">
        <v>55</v>
      </c>
      <c r="H120" s="3"/>
      <c r="I120" s="3"/>
      <c r="J120" s="3"/>
      <c r="K120" s="3"/>
      <c r="L120" s="3"/>
      <c r="M120" s="3"/>
      <c r="N120" s="3"/>
      <c r="O120" s="3"/>
      <c r="P120" s="3"/>
      <c r="Q120" s="3"/>
    </row>
    <row r="121" spans="1:17" ht="60" customHeight="1" x14ac:dyDescent="0.25">
      <c r="A121" s="9">
        <f>IF(F121="","",ROW()-19-COUNTBLANK($F$20:F121))</f>
        <v>89</v>
      </c>
      <c r="B121" s="4" t="s">
        <v>1064</v>
      </c>
      <c r="C121" s="4" t="s">
        <v>2013</v>
      </c>
      <c r="D121" s="4"/>
      <c r="E121" s="7" t="s">
        <v>2280</v>
      </c>
      <c r="F121" s="7" t="s">
        <v>1067</v>
      </c>
      <c r="G121" s="3" t="s">
        <v>55</v>
      </c>
      <c r="H121" s="3"/>
      <c r="I121" s="3"/>
      <c r="J121" s="3"/>
      <c r="K121" s="3"/>
      <c r="L121" s="3"/>
      <c r="M121" s="3"/>
      <c r="N121" s="3"/>
      <c r="O121" s="3"/>
      <c r="P121" s="3"/>
      <c r="Q121" s="3"/>
    </row>
    <row r="122" spans="1:17" ht="60" customHeight="1" x14ac:dyDescent="0.25">
      <c r="A122" s="9">
        <f>IF(F122="","",ROW()-19-COUNTBLANK($F$20:F122))</f>
        <v>90</v>
      </c>
      <c r="B122" s="4" t="s">
        <v>1068</v>
      </c>
      <c r="C122" s="4" t="s">
        <v>2015</v>
      </c>
      <c r="D122" s="4"/>
      <c r="E122" s="7" t="s">
        <v>2281</v>
      </c>
      <c r="F122" s="7" t="s">
        <v>2017</v>
      </c>
      <c r="G122" s="3" t="s">
        <v>73</v>
      </c>
      <c r="H122" s="3"/>
      <c r="I122" s="3"/>
      <c r="J122" s="3"/>
      <c r="K122" s="3"/>
      <c r="L122" s="3"/>
      <c r="M122" s="3"/>
      <c r="N122" s="3"/>
      <c r="O122" s="3"/>
      <c r="P122" s="3"/>
      <c r="Q122" s="3"/>
    </row>
    <row r="123" spans="1:17" ht="60" customHeight="1" x14ac:dyDescent="0.25">
      <c r="A123" s="9">
        <f>IF(F123="","",ROW()-19-COUNTBLANK($F$20:F123))</f>
        <v>91</v>
      </c>
      <c r="B123" s="4" t="s">
        <v>1072</v>
      </c>
      <c r="C123" s="4" t="s">
        <v>2018</v>
      </c>
      <c r="D123" s="4"/>
      <c r="E123" s="7" t="s">
        <v>2279</v>
      </c>
      <c r="F123" s="7" t="s">
        <v>1095</v>
      </c>
      <c r="G123" s="3" t="s">
        <v>73</v>
      </c>
      <c r="H123" s="3"/>
      <c r="I123" s="3"/>
      <c r="J123" s="3"/>
      <c r="K123" s="3"/>
      <c r="L123" s="3"/>
      <c r="M123" s="3"/>
      <c r="N123" s="3"/>
      <c r="O123" s="3"/>
      <c r="P123" s="3"/>
      <c r="Q123" s="3"/>
    </row>
    <row r="124" spans="1:17" ht="20.100000000000001" customHeight="1" x14ac:dyDescent="0.25">
      <c r="A124" s="9" t="str">
        <f>IF(F124="","",ROW()-19-COUNTBLANK($F$20:F124))</f>
        <v/>
      </c>
      <c r="B124" s="12" t="s">
        <v>2019</v>
      </c>
      <c r="C124" s="12"/>
      <c r="D124" s="12"/>
      <c r="E124" s="12"/>
      <c r="F124" s="12"/>
      <c r="G124" s="12"/>
      <c r="H124" s="12"/>
      <c r="I124" s="12"/>
      <c r="J124" s="12"/>
      <c r="K124" s="12"/>
      <c r="L124" s="12"/>
      <c r="M124" s="12"/>
      <c r="N124" s="12"/>
      <c r="O124" s="12"/>
      <c r="P124" s="12"/>
      <c r="Q124" s="12"/>
    </row>
    <row r="125" spans="1:17" ht="60" customHeight="1" x14ac:dyDescent="0.25">
      <c r="A125" s="9">
        <f>IF(F125="","",ROW()-19-COUNTBLANK($F$20:F125))</f>
        <v>92</v>
      </c>
      <c r="B125" s="4" t="s">
        <v>216</v>
      </c>
      <c r="C125" s="4" t="s">
        <v>2020</v>
      </c>
      <c r="D125" s="4"/>
      <c r="E125" s="7" t="s">
        <v>2282</v>
      </c>
      <c r="F125" s="7" t="s">
        <v>2022</v>
      </c>
      <c r="G125" s="3" t="s">
        <v>55</v>
      </c>
      <c r="H125" s="3"/>
      <c r="I125" s="3"/>
      <c r="J125" s="3"/>
      <c r="K125" s="3"/>
      <c r="L125" s="3"/>
      <c r="M125" s="3"/>
      <c r="N125" s="3"/>
      <c r="O125" s="3"/>
      <c r="P125" s="3"/>
      <c r="Q125" s="3"/>
    </row>
    <row r="126" spans="1:17" ht="60" customHeight="1" x14ac:dyDescent="0.25">
      <c r="A126" s="9">
        <f>IF(F126="","",ROW()-19-COUNTBLANK($F$20:F126))</f>
        <v>93</v>
      </c>
      <c r="B126" s="4" t="s">
        <v>1064</v>
      </c>
      <c r="C126" s="4" t="s">
        <v>2023</v>
      </c>
      <c r="D126" s="4"/>
      <c r="E126" s="7" t="s">
        <v>2283</v>
      </c>
      <c r="F126" s="7" t="s">
        <v>1067</v>
      </c>
      <c r="G126" s="3" t="s">
        <v>55</v>
      </c>
      <c r="H126" s="3"/>
      <c r="I126" s="3"/>
      <c r="J126" s="3"/>
      <c r="K126" s="3"/>
      <c r="L126" s="3"/>
      <c r="M126" s="3"/>
      <c r="N126" s="3"/>
      <c r="O126" s="3"/>
      <c r="P126" s="3"/>
      <c r="Q126" s="3"/>
    </row>
    <row r="127" spans="1:17" ht="60" customHeight="1" x14ac:dyDescent="0.25">
      <c r="A127" s="9">
        <f>IF(F127="","",ROW()-19-COUNTBLANK($F$20:F127))</f>
        <v>94</v>
      </c>
      <c r="B127" s="4" t="s">
        <v>1068</v>
      </c>
      <c r="C127" s="4" t="s">
        <v>2025</v>
      </c>
      <c r="D127" s="4"/>
      <c r="E127" s="7" t="s">
        <v>2284</v>
      </c>
      <c r="F127" s="7" t="s">
        <v>2027</v>
      </c>
      <c r="G127" s="3" t="s">
        <v>73</v>
      </c>
      <c r="H127" s="3"/>
      <c r="I127" s="3"/>
      <c r="J127" s="3"/>
      <c r="K127" s="3"/>
      <c r="L127" s="3"/>
      <c r="M127" s="3"/>
      <c r="N127" s="3"/>
      <c r="O127" s="3"/>
      <c r="P127" s="3"/>
      <c r="Q127" s="3"/>
    </row>
    <row r="128" spans="1:17" ht="60" customHeight="1" x14ac:dyDescent="0.25">
      <c r="A128" s="9">
        <f>IF(F128="","",ROW()-19-COUNTBLANK($F$20:F128))</f>
        <v>95</v>
      </c>
      <c r="B128" s="4" t="s">
        <v>1072</v>
      </c>
      <c r="C128" s="4" t="s">
        <v>2028</v>
      </c>
      <c r="D128" s="4"/>
      <c r="E128" s="7" t="s">
        <v>2282</v>
      </c>
      <c r="F128" s="7" t="s">
        <v>1095</v>
      </c>
      <c r="G128" s="3" t="s">
        <v>73</v>
      </c>
      <c r="H128" s="3"/>
      <c r="I128" s="3"/>
      <c r="J128" s="3"/>
      <c r="K128" s="3"/>
      <c r="L128" s="3"/>
      <c r="M128" s="3"/>
      <c r="N128" s="3"/>
      <c r="O128" s="3"/>
      <c r="P128" s="3"/>
      <c r="Q128" s="3"/>
    </row>
    <row r="129" spans="1:17" ht="20.100000000000001" customHeight="1" x14ac:dyDescent="0.25">
      <c r="A129" s="9" t="str">
        <f>IF(F129="","",ROW()-19-COUNTBLANK($F$20:F129))</f>
        <v/>
      </c>
      <c r="B129" s="12" t="s">
        <v>2029</v>
      </c>
      <c r="C129" s="12"/>
      <c r="D129" s="12"/>
      <c r="E129" s="12"/>
      <c r="F129" s="12"/>
      <c r="G129" s="12"/>
      <c r="H129" s="12"/>
      <c r="I129" s="12"/>
      <c r="J129" s="12"/>
      <c r="K129" s="12"/>
      <c r="L129" s="12"/>
      <c r="M129" s="12"/>
      <c r="N129" s="12"/>
      <c r="O129" s="12"/>
      <c r="P129" s="12"/>
      <c r="Q129" s="12"/>
    </row>
    <row r="130" spans="1:17" ht="60" customHeight="1" x14ac:dyDescent="0.25">
      <c r="A130" s="9">
        <f>IF(F130="","",ROW()-19-COUNTBLANK($F$20:F130))</f>
        <v>96</v>
      </c>
      <c r="B130" s="4" t="s">
        <v>216</v>
      </c>
      <c r="C130" s="4" t="s">
        <v>2030</v>
      </c>
      <c r="D130" s="4"/>
      <c r="E130" s="7" t="s">
        <v>2285</v>
      </c>
      <c r="F130" s="7" t="s">
        <v>2032</v>
      </c>
      <c r="G130" s="3" t="s">
        <v>55</v>
      </c>
      <c r="H130" s="3"/>
      <c r="I130" s="3"/>
      <c r="J130" s="3"/>
      <c r="K130" s="3"/>
      <c r="L130" s="3"/>
      <c r="M130" s="3"/>
      <c r="N130" s="3"/>
      <c r="O130" s="3"/>
      <c r="P130" s="3"/>
      <c r="Q130" s="3"/>
    </row>
    <row r="131" spans="1:17" ht="60" customHeight="1" x14ac:dyDescent="0.25">
      <c r="A131" s="9">
        <f>IF(F131="","",ROW()-19-COUNTBLANK($F$20:F131))</f>
        <v>97</v>
      </c>
      <c r="B131" s="4" t="s">
        <v>1064</v>
      </c>
      <c r="C131" s="4" t="s">
        <v>2033</v>
      </c>
      <c r="D131" s="4"/>
      <c r="E131" s="7" t="s">
        <v>2286</v>
      </c>
      <c r="F131" s="7" t="s">
        <v>1067</v>
      </c>
      <c r="G131" s="3" t="s">
        <v>55</v>
      </c>
      <c r="H131" s="3"/>
      <c r="I131" s="3"/>
      <c r="J131" s="3"/>
      <c r="K131" s="3"/>
      <c r="L131" s="3"/>
      <c r="M131" s="3"/>
      <c r="N131" s="3"/>
      <c r="O131" s="3"/>
      <c r="P131" s="3"/>
      <c r="Q131" s="3"/>
    </row>
    <row r="132" spans="1:17" ht="60" customHeight="1" x14ac:dyDescent="0.25">
      <c r="A132" s="9">
        <f>IF(F132="","",ROW()-19-COUNTBLANK($F$20:F132))</f>
        <v>98</v>
      </c>
      <c r="B132" s="4" t="s">
        <v>1068</v>
      </c>
      <c r="C132" s="4" t="s">
        <v>2035</v>
      </c>
      <c r="D132" s="4"/>
      <c r="E132" s="7" t="s">
        <v>2287</v>
      </c>
      <c r="F132" s="7" t="s">
        <v>2037</v>
      </c>
      <c r="G132" s="3" t="s">
        <v>73</v>
      </c>
      <c r="H132" s="3"/>
      <c r="I132" s="3"/>
      <c r="J132" s="3"/>
      <c r="K132" s="3"/>
      <c r="L132" s="3"/>
      <c r="M132" s="3"/>
      <c r="N132" s="3"/>
      <c r="O132" s="3"/>
      <c r="P132" s="3"/>
      <c r="Q132" s="3"/>
    </row>
    <row r="133" spans="1:17" ht="60" customHeight="1" x14ac:dyDescent="0.25">
      <c r="A133" s="9">
        <f>IF(F133="","",ROW()-19-COUNTBLANK($F$20:F133))</f>
        <v>99</v>
      </c>
      <c r="B133" s="4" t="s">
        <v>1072</v>
      </c>
      <c r="C133" s="4" t="s">
        <v>2038</v>
      </c>
      <c r="D133" s="4"/>
      <c r="E133" s="7" t="s">
        <v>2285</v>
      </c>
      <c r="F133" s="7" t="s">
        <v>1095</v>
      </c>
      <c r="G133" s="3" t="s">
        <v>73</v>
      </c>
      <c r="H133" s="3"/>
      <c r="I133" s="3"/>
      <c r="J133" s="3"/>
      <c r="K133" s="3"/>
      <c r="L133" s="3"/>
      <c r="M133" s="3"/>
      <c r="N133" s="3"/>
      <c r="O133" s="3"/>
      <c r="P133" s="3"/>
      <c r="Q133" s="3"/>
    </row>
    <row r="134" spans="1:17" ht="20.100000000000001" customHeight="1" x14ac:dyDescent="0.25">
      <c r="A134" s="9" t="str">
        <f>IF(F134="","",ROW()-19-COUNTBLANK($F$20:F134))</f>
        <v/>
      </c>
      <c r="B134" s="12" t="s">
        <v>2039</v>
      </c>
      <c r="C134" s="12"/>
      <c r="D134" s="12"/>
      <c r="E134" s="12"/>
      <c r="F134" s="12"/>
      <c r="G134" s="12"/>
      <c r="H134" s="12"/>
      <c r="I134" s="12"/>
      <c r="J134" s="12"/>
      <c r="K134" s="12"/>
      <c r="L134" s="12"/>
      <c r="M134" s="12"/>
      <c r="N134" s="12"/>
      <c r="O134" s="12"/>
      <c r="P134" s="12"/>
      <c r="Q134" s="12"/>
    </row>
    <row r="135" spans="1:17" ht="60" customHeight="1" x14ac:dyDescent="0.25">
      <c r="A135" s="9">
        <f>IF(F135="","",ROW()-19-COUNTBLANK($F$20:F135))</f>
        <v>100</v>
      </c>
      <c r="B135" s="4" t="s">
        <v>216</v>
      </c>
      <c r="C135" s="4" t="s">
        <v>2040</v>
      </c>
      <c r="D135" s="4"/>
      <c r="E135" s="7" t="s">
        <v>2288</v>
      </c>
      <c r="F135" s="7" t="s">
        <v>2042</v>
      </c>
      <c r="G135" s="3" t="s">
        <v>55</v>
      </c>
      <c r="H135" s="3"/>
      <c r="I135" s="3"/>
      <c r="J135" s="3"/>
      <c r="K135" s="3"/>
      <c r="L135" s="3"/>
      <c r="M135" s="3"/>
      <c r="N135" s="3"/>
      <c r="O135" s="3"/>
      <c r="P135" s="3"/>
      <c r="Q135" s="3"/>
    </row>
    <row r="136" spans="1:17" ht="60" customHeight="1" x14ac:dyDescent="0.25">
      <c r="A136" s="9">
        <f>IF(F136="","",ROW()-19-COUNTBLANK($F$20:F136))</f>
        <v>101</v>
      </c>
      <c r="B136" s="4" t="s">
        <v>1064</v>
      </c>
      <c r="C136" s="4" t="s">
        <v>2043</v>
      </c>
      <c r="D136" s="4"/>
      <c r="E136" s="7" t="s">
        <v>2289</v>
      </c>
      <c r="F136" s="7" t="s">
        <v>1067</v>
      </c>
      <c r="G136" s="3" t="s">
        <v>55</v>
      </c>
      <c r="H136" s="3"/>
      <c r="I136" s="3"/>
      <c r="J136" s="3"/>
      <c r="K136" s="3"/>
      <c r="L136" s="3"/>
      <c r="M136" s="3"/>
      <c r="N136" s="3"/>
      <c r="O136" s="3"/>
      <c r="P136" s="3"/>
      <c r="Q136" s="3"/>
    </row>
    <row r="137" spans="1:17" ht="60" customHeight="1" x14ac:dyDescent="0.25">
      <c r="A137" s="9">
        <f>IF(F137="","",ROW()-19-COUNTBLANK($F$20:F137))</f>
        <v>102</v>
      </c>
      <c r="B137" s="4" t="s">
        <v>1068</v>
      </c>
      <c r="C137" s="4" t="s">
        <v>2045</v>
      </c>
      <c r="D137" s="4"/>
      <c r="E137" s="7" t="s">
        <v>2290</v>
      </c>
      <c r="F137" s="7" t="s">
        <v>2047</v>
      </c>
      <c r="G137" s="3" t="s">
        <v>73</v>
      </c>
      <c r="H137" s="3"/>
      <c r="I137" s="3"/>
      <c r="J137" s="3"/>
      <c r="K137" s="3"/>
      <c r="L137" s="3"/>
      <c r="M137" s="3"/>
      <c r="N137" s="3"/>
      <c r="O137" s="3"/>
      <c r="P137" s="3"/>
      <c r="Q137" s="3"/>
    </row>
    <row r="138" spans="1:17" ht="60" customHeight="1" x14ac:dyDescent="0.25">
      <c r="A138" s="9">
        <f>IF(F138="","",ROW()-19-COUNTBLANK($F$20:F138))</f>
        <v>103</v>
      </c>
      <c r="B138" s="4" t="s">
        <v>1072</v>
      </c>
      <c r="C138" s="4" t="s">
        <v>2048</v>
      </c>
      <c r="D138" s="4"/>
      <c r="E138" s="7" t="s">
        <v>2288</v>
      </c>
      <c r="F138" s="7" t="s">
        <v>1095</v>
      </c>
      <c r="G138" s="3" t="s">
        <v>73</v>
      </c>
      <c r="H138" s="3"/>
      <c r="I138" s="3"/>
      <c r="J138" s="3"/>
      <c r="K138" s="3"/>
      <c r="L138" s="3"/>
      <c r="M138" s="3"/>
      <c r="N138" s="3"/>
      <c r="O138" s="3"/>
      <c r="P138" s="3"/>
      <c r="Q138" s="3"/>
    </row>
    <row r="139" spans="1:17" ht="20.100000000000001" customHeight="1" x14ac:dyDescent="0.25">
      <c r="A139" s="9" t="str">
        <f>IF(F139="","",ROW()-19-COUNTBLANK($F$20:F139))</f>
        <v/>
      </c>
      <c r="B139" s="12" t="s">
        <v>2049</v>
      </c>
      <c r="C139" s="12"/>
      <c r="D139" s="12"/>
      <c r="E139" s="12"/>
      <c r="F139" s="12"/>
      <c r="G139" s="12"/>
      <c r="H139" s="12"/>
      <c r="I139" s="12"/>
      <c r="J139" s="12"/>
      <c r="K139" s="12"/>
      <c r="L139" s="12"/>
      <c r="M139" s="12"/>
      <c r="N139" s="12"/>
      <c r="O139" s="12"/>
      <c r="P139" s="12"/>
      <c r="Q139" s="12"/>
    </row>
    <row r="140" spans="1:17" ht="60" customHeight="1" x14ac:dyDescent="0.25">
      <c r="A140" s="9">
        <f>IF(F140="","",ROW()-19-COUNTBLANK($F$20:F140))</f>
        <v>104</v>
      </c>
      <c r="B140" s="4" t="s">
        <v>216</v>
      </c>
      <c r="C140" s="4" t="s">
        <v>2050</v>
      </c>
      <c r="D140" s="4"/>
      <c r="E140" s="7" t="s">
        <v>2291</v>
      </c>
      <c r="F140" s="7" t="s">
        <v>2052</v>
      </c>
      <c r="G140" s="3" t="s">
        <v>55</v>
      </c>
      <c r="H140" s="3"/>
      <c r="I140" s="3"/>
      <c r="J140" s="3"/>
      <c r="K140" s="3"/>
      <c r="L140" s="3"/>
      <c r="M140" s="3"/>
      <c r="N140" s="3"/>
      <c r="O140" s="3"/>
      <c r="P140" s="3"/>
      <c r="Q140" s="3"/>
    </row>
    <row r="141" spans="1:17" ht="60" customHeight="1" x14ac:dyDescent="0.25">
      <c r="A141" s="9">
        <f>IF(F141="","",ROW()-19-COUNTBLANK($F$20:F141))</f>
        <v>105</v>
      </c>
      <c r="B141" s="4" t="s">
        <v>1064</v>
      </c>
      <c r="C141" s="4" t="s">
        <v>2053</v>
      </c>
      <c r="D141" s="4"/>
      <c r="E141" s="7" t="s">
        <v>2292</v>
      </c>
      <c r="F141" s="7" t="s">
        <v>1067</v>
      </c>
      <c r="G141" s="3" t="s">
        <v>55</v>
      </c>
      <c r="H141" s="3"/>
      <c r="I141" s="3"/>
      <c r="J141" s="3"/>
      <c r="K141" s="3"/>
      <c r="L141" s="3"/>
      <c r="M141" s="3"/>
      <c r="N141" s="3"/>
      <c r="O141" s="3"/>
      <c r="P141" s="3"/>
      <c r="Q141" s="3"/>
    </row>
    <row r="142" spans="1:17" ht="60" customHeight="1" x14ac:dyDescent="0.25">
      <c r="A142" s="9">
        <f>IF(F142="","",ROW()-19-COUNTBLANK($F$20:F142))</f>
        <v>106</v>
      </c>
      <c r="B142" s="4" t="s">
        <v>1068</v>
      </c>
      <c r="C142" s="4" t="s">
        <v>2055</v>
      </c>
      <c r="D142" s="4"/>
      <c r="E142" s="7" t="s">
        <v>2293</v>
      </c>
      <c r="F142" s="7" t="s">
        <v>2057</v>
      </c>
      <c r="G142" s="3" t="s">
        <v>73</v>
      </c>
      <c r="H142" s="3"/>
      <c r="I142" s="3"/>
      <c r="J142" s="3"/>
      <c r="K142" s="3"/>
      <c r="L142" s="3"/>
      <c r="M142" s="3"/>
      <c r="N142" s="3"/>
      <c r="O142" s="3"/>
      <c r="P142" s="3"/>
      <c r="Q142" s="3"/>
    </row>
    <row r="143" spans="1:17" ht="60" customHeight="1" x14ac:dyDescent="0.25">
      <c r="A143" s="9">
        <f>IF(F143="","",ROW()-19-COUNTBLANK($F$20:F143))</f>
        <v>107</v>
      </c>
      <c r="B143" s="4" t="s">
        <v>1072</v>
      </c>
      <c r="C143" s="4" t="s">
        <v>2058</v>
      </c>
      <c r="D143" s="4"/>
      <c r="E143" s="7" t="s">
        <v>2291</v>
      </c>
      <c r="F143" s="7" t="s">
        <v>1095</v>
      </c>
      <c r="G143" s="3" t="s">
        <v>73</v>
      </c>
      <c r="H143" s="3"/>
      <c r="I143" s="3"/>
      <c r="J143" s="3"/>
      <c r="K143" s="3"/>
      <c r="L143" s="3"/>
      <c r="M143" s="3"/>
      <c r="N143" s="3"/>
      <c r="O143" s="3"/>
      <c r="P143" s="3"/>
      <c r="Q143" s="3"/>
    </row>
    <row r="144" spans="1:17" ht="60" customHeight="1" x14ac:dyDescent="0.25">
      <c r="A144" s="9">
        <f>IF(F144="","",ROW()-19-COUNTBLANK($F$20:F144))</f>
        <v>108</v>
      </c>
      <c r="B144" s="4" t="s">
        <v>2059</v>
      </c>
      <c r="C144" s="4" t="s">
        <v>2060</v>
      </c>
      <c r="D144" s="4" t="s">
        <v>2061</v>
      </c>
      <c r="E144" s="7" t="s">
        <v>2294</v>
      </c>
      <c r="F144" s="7" t="s">
        <v>2063</v>
      </c>
      <c r="G144" s="3" t="s">
        <v>55</v>
      </c>
      <c r="H144" s="3"/>
      <c r="I144" s="3"/>
      <c r="J144" s="3"/>
      <c r="K144" s="3"/>
      <c r="L144" s="3"/>
      <c r="M144" s="3"/>
      <c r="N144" s="3"/>
      <c r="O144" s="3"/>
      <c r="P144" s="3"/>
      <c r="Q144" s="3"/>
    </row>
    <row r="145" spans="1:17" ht="60" customHeight="1" x14ac:dyDescent="0.25">
      <c r="A145" s="9">
        <f>IF(F145="","",ROW()-19-COUNTBLANK($F$20:F145))</f>
        <v>109</v>
      </c>
      <c r="B145" s="4" t="s">
        <v>2064</v>
      </c>
      <c r="C145" s="4" t="s">
        <v>2065</v>
      </c>
      <c r="D145" s="4" t="s">
        <v>2066</v>
      </c>
      <c r="E145" s="7" t="s">
        <v>2294</v>
      </c>
      <c r="F145" s="7" t="s">
        <v>2067</v>
      </c>
      <c r="G145" s="3" t="s">
        <v>73</v>
      </c>
      <c r="H145" s="3"/>
      <c r="I145" s="3"/>
      <c r="J145" s="3"/>
      <c r="K145" s="3"/>
      <c r="L145" s="3"/>
      <c r="M145" s="3"/>
      <c r="N145" s="3"/>
      <c r="O145" s="3"/>
      <c r="P145" s="3"/>
      <c r="Q145" s="3"/>
    </row>
    <row r="146" spans="1:17" ht="20.100000000000001" customHeight="1" x14ac:dyDescent="0.25">
      <c r="A146" s="9" t="str">
        <f>IF(F146="","",ROW()-19-COUNTBLANK($F$20:F146))</f>
        <v/>
      </c>
      <c r="B146" s="12" t="s">
        <v>2068</v>
      </c>
      <c r="C146" s="12"/>
      <c r="D146" s="12"/>
      <c r="E146" s="12"/>
      <c r="F146" s="12"/>
      <c r="G146" s="12"/>
      <c r="H146" s="12"/>
      <c r="I146" s="12"/>
      <c r="J146" s="12"/>
      <c r="K146" s="12"/>
      <c r="L146" s="12"/>
      <c r="M146" s="12"/>
      <c r="N146" s="12"/>
      <c r="O146" s="12"/>
      <c r="P146" s="12"/>
      <c r="Q146" s="12"/>
    </row>
    <row r="147" spans="1:17" ht="60" customHeight="1" x14ac:dyDescent="0.25">
      <c r="A147" s="9">
        <f>IF(F147="","",ROW()-19-COUNTBLANK($F$20:F147))</f>
        <v>110</v>
      </c>
      <c r="B147" s="4" t="s">
        <v>114</v>
      </c>
      <c r="C147" s="4" t="s">
        <v>2069</v>
      </c>
      <c r="D147" s="4"/>
      <c r="E147" s="7" t="s">
        <v>2295</v>
      </c>
      <c r="F147" s="7" t="s">
        <v>2296</v>
      </c>
      <c r="G147" s="3" t="s">
        <v>55</v>
      </c>
      <c r="H147" s="3"/>
      <c r="I147" s="3"/>
      <c r="J147" s="3"/>
      <c r="K147" s="3"/>
      <c r="L147" s="3"/>
      <c r="M147" s="3"/>
      <c r="N147" s="3"/>
      <c r="O147" s="3"/>
      <c r="P147" s="3"/>
      <c r="Q147" s="3"/>
    </row>
    <row r="148" spans="1:17" ht="60" customHeight="1" x14ac:dyDescent="0.25">
      <c r="A148" s="9">
        <f>IF(F148="","",ROW()-19-COUNTBLANK($F$20:F148))</f>
        <v>111</v>
      </c>
      <c r="B148" s="4" t="s">
        <v>118</v>
      </c>
      <c r="C148" s="4" t="s">
        <v>2072</v>
      </c>
      <c r="D148" s="4"/>
      <c r="E148" s="7" t="s">
        <v>2297</v>
      </c>
      <c r="F148" s="7" t="s">
        <v>359</v>
      </c>
      <c r="G148" s="3" t="s">
        <v>55</v>
      </c>
      <c r="H148" s="3"/>
      <c r="I148" s="3"/>
      <c r="J148" s="3"/>
      <c r="K148" s="3"/>
      <c r="L148" s="3"/>
      <c r="M148" s="3"/>
      <c r="N148" s="3"/>
      <c r="O148" s="3"/>
      <c r="P148" s="3"/>
      <c r="Q148" s="3"/>
    </row>
    <row r="149" spans="1:17" ht="60" customHeight="1" x14ac:dyDescent="0.25">
      <c r="A149" s="9">
        <f>IF(F149="","",ROW()-19-COUNTBLANK($F$20:F149))</f>
        <v>112</v>
      </c>
      <c r="B149" s="4" t="s">
        <v>122</v>
      </c>
      <c r="C149" s="4" t="s">
        <v>2074</v>
      </c>
      <c r="D149" s="4"/>
      <c r="E149" s="7" t="s">
        <v>2298</v>
      </c>
      <c r="F149" s="7" t="s">
        <v>2076</v>
      </c>
      <c r="G149" s="3" t="s">
        <v>55</v>
      </c>
      <c r="H149" s="3"/>
      <c r="I149" s="3"/>
      <c r="J149" s="3"/>
      <c r="K149" s="3"/>
      <c r="L149" s="3"/>
      <c r="M149" s="3"/>
      <c r="N149" s="3"/>
      <c r="O149" s="3"/>
      <c r="P149" s="3"/>
      <c r="Q149" s="3"/>
    </row>
    <row r="150" spans="1:17" ht="20.100000000000001" customHeight="1" x14ac:dyDescent="0.25">
      <c r="A150" s="11"/>
      <c r="B150" s="22" t="s">
        <v>1247</v>
      </c>
      <c r="C150" s="23"/>
      <c r="D150" s="23"/>
      <c r="E150" s="23"/>
      <c r="F150" s="24"/>
      <c r="G150" s="11"/>
      <c r="H150" s="11"/>
      <c r="I150" s="11"/>
      <c r="J150" s="11"/>
      <c r="K150" s="11"/>
      <c r="L150" s="11"/>
      <c r="M150" s="11"/>
      <c r="N150" s="11"/>
      <c r="O150" s="11"/>
      <c r="P150" s="11"/>
      <c r="Q150" s="11"/>
    </row>
    <row r="151" spans="1:17" ht="20.100000000000001" customHeight="1" x14ac:dyDescent="0.25">
      <c r="A151" s="9" t="str">
        <f>IF(F151="","",ROW()-19-COUNTBLANK($F$20:F151))</f>
        <v/>
      </c>
      <c r="B151" s="12" t="s">
        <v>2077</v>
      </c>
      <c r="C151" s="12"/>
      <c r="D151" s="12"/>
      <c r="E151" s="12"/>
      <c r="F151" s="12"/>
      <c r="G151" s="12"/>
      <c r="H151" s="12"/>
      <c r="I151" s="12"/>
      <c r="J151" s="12"/>
      <c r="K151" s="12"/>
      <c r="L151" s="12"/>
      <c r="M151" s="12"/>
      <c r="N151" s="12"/>
      <c r="O151" s="12"/>
      <c r="P151" s="12"/>
      <c r="Q151" s="12"/>
    </row>
    <row r="152" spans="1:17" ht="60" customHeight="1" x14ac:dyDescent="0.25">
      <c r="A152" s="9">
        <f>IF(F152="","",ROW()-19-COUNTBLANK($F$20:F152))</f>
        <v>113</v>
      </c>
      <c r="B152" s="4" t="s">
        <v>2078</v>
      </c>
      <c r="C152" s="4" t="s">
        <v>2299</v>
      </c>
      <c r="D152" s="4" t="s">
        <v>2300</v>
      </c>
      <c r="E152" s="7" t="s">
        <v>2301</v>
      </c>
      <c r="F152" s="7" t="s">
        <v>2302</v>
      </c>
      <c r="G152" s="3" t="s">
        <v>50</v>
      </c>
      <c r="H152" s="3"/>
      <c r="I152" s="3"/>
      <c r="J152" s="3"/>
      <c r="K152" s="3"/>
      <c r="L152" s="3"/>
      <c r="M152" s="3"/>
      <c r="N152" s="3"/>
      <c r="O152" s="3"/>
      <c r="P152" s="3"/>
      <c r="Q152" s="3"/>
    </row>
    <row r="153" spans="1:17" ht="60" customHeight="1" x14ac:dyDescent="0.25">
      <c r="A153" s="9">
        <f>IF(F153="","",ROW()-19-COUNTBLANK($F$20:F153))</f>
        <v>114</v>
      </c>
      <c r="B153" s="4" t="s">
        <v>2083</v>
      </c>
      <c r="C153" s="4" t="s">
        <v>2303</v>
      </c>
      <c r="D153" s="4" t="s">
        <v>2304</v>
      </c>
      <c r="E153" s="7" t="s">
        <v>2305</v>
      </c>
      <c r="F153" s="7" t="s">
        <v>2306</v>
      </c>
      <c r="G153" s="3" t="s">
        <v>50</v>
      </c>
      <c r="H153" s="3"/>
      <c r="I153" s="3"/>
      <c r="J153" s="3"/>
      <c r="K153" s="3"/>
      <c r="L153" s="3"/>
      <c r="M153" s="3"/>
      <c r="N153" s="3"/>
      <c r="O153" s="3"/>
      <c r="P153" s="3"/>
      <c r="Q153" s="3"/>
    </row>
    <row r="154" spans="1:17" ht="60" customHeight="1" x14ac:dyDescent="0.25">
      <c r="A154" s="9">
        <f>IF(F154="","",ROW()-19-COUNTBLANK($F$20:F154))</f>
        <v>115</v>
      </c>
      <c r="B154" s="4" t="s">
        <v>2088</v>
      </c>
      <c r="C154" s="4" t="s">
        <v>2307</v>
      </c>
      <c r="D154" s="4" t="s">
        <v>2308</v>
      </c>
      <c r="E154" s="7" t="s">
        <v>2309</v>
      </c>
      <c r="F154" s="7" t="s">
        <v>2310</v>
      </c>
      <c r="G154" s="3" t="s">
        <v>50</v>
      </c>
      <c r="H154" s="3"/>
      <c r="I154" s="3"/>
      <c r="J154" s="3"/>
      <c r="K154" s="3"/>
      <c r="L154" s="3"/>
      <c r="M154" s="3"/>
      <c r="N154" s="3"/>
      <c r="O154" s="3"/>
      <c r="P154" s="3"/>
      <c r="Q154" s="3"/>
    </row>
    <row r="155" spans="1:17" ht="60" customHeight="1" x14ac:dyDescent="0.25">
      <c r="A155" s="9">
        <f>IF(F155="","",ROW()-19-COUNTBLANK($F$20:F155))</f>
        <v>116</v>
      </c>
      <c r="B155" s="4" t="s">
        <v>2093</v>
      </c>
      <c r="C155" s="4" t="s">
        <v>2311</v>
      </c>
      <c r="D155" s="4" t="s">
        <v>2312</v>
      </c>
      <c r="E155" s="7" t="s">
        <v>2313</v>
      </c>
      <c r="F155" s="7" t="s">
        <v>2314</v>
      </c>
      <c r="G155" s="3" t="s">
        <v>50</v>
      </c>
      <c r="H155" s="3"/>
      <c r="I155" s="3"/>
      <c r="J155" s="3"/>
      <c r="K155" s="3"/>
      <c r="L155" s="3"/>
      <c r="M155" s="3"/>
      <c r="N155" s="3"/>
      <c r="O155" s="3"/>
      <c r="P155" s="3"/>
      <c r="Q155" s="3"/>
    </row>
    <row r="156" spans="1:17" ht="60" customHeight="1" x14ac:dyDescent="0.25">
      <c r="A156" s="9">
        <f>IF(F156="","",ROW()-19-COUNTBLANK($F$20:F156))</f>
        <v>117</v>
      </c>
      <c r="B156" s="4" t="s">
        <v>2098</v>
      </c>
      <c r="C156" s="4" t="s">
        <v>2099</v>
      </c>
      <c r="D156" s="4" t="s">
        <v>2100</v>
      </c>
      <c r="E156" s="7" t="s">
        <v>2101</v>
      </c>
      <c r="F156" s="7" t="s">
        <v>2102</v>
      </c>
      <c r="G156" s="3" t="s">
        <v>50</v>
      </c>
      <c r="H156" s="3"/>
      <c r="I156" s="3"/>
      <c r="J156" s="3"/>
      <c r="K156" s="3"/>
      <c r="L156" s="3"/>
      <c r="M156" s="3"/>
      <c r="N156" s="3"/>
      <c r="O156" s="3"/>
      <c r="P156" s="3"/>
      <c r="Q156" s="3"/>
    </row>
    <row r="157" spans="1:17" ht="60" customHeight="1" x14ac:dyDescent="0.25">
      <c r="A157" s="9">
        <f>IF(F157="","",ROW()-19-COUNTBLANK($F$20:F157))</f>
        <v>118</v>
      </c>
      <c r="B157" s="4" t="s">
        <v>2103</v>
      </c>
      <c r="C157" s="4" t="s">
        <v>2104</v>
      </c>
      <c r="D157" s="4" t="s">
        <v>2105</v>
      </c>
      <c r="E157" s="7" t="s">
        <v>2315</v>
      </c>
      <c r="F157" s="7" t="s">
        <v>2316</v>
      </c>
      <c r="G157" s="3" t="s">
        <v>50</v>
      </c>
      <c r="H157" s="3"/>
      <c r="I157" s="3"/>
      <c r="J157" s="3"/>
      <c r="K157" s="3"/>
      <c r="L157" s="3"/>
      <c r="M157" s="3"/>
      <c r="N157" s="3"/>
      <c r="O157" s="3"/>
      <c r="P157" s="3"/>
      <c r="Q157" s="3"/>
    </row>
    <row r="158" spans="1:17" ht="60" customHeight="1" x14ac:dyDescent="0.25">
      <c r="A158" s="9">
        <f>IF(F158="","",ROW()-19-COUNTBLANK($F$20:F158))</f>
        <v>119</v>
      </c>
      <c r="B158" s="4" t="s">
        <v>2108</v>
      </c>
      <c r="C158" s="4" t="s">
        <v>2109</v>
      </c>
      <c r="D158" s="4" t="s">
        <v>2110</v>
      </c>
      <c r="E158" s="7" t="s">
        <v>2201</v>
      </c>
      <c r="F158" s="7" t="s">
        <v>2317</v>
      </c>
      <c r="G158" s="3" t="s">
        <v>50</v>
      </c>
      <c r="H158" s="3"/>
      <c r="I158" s="3"/>
      <c r="J158" s="3"/>
      <c r="K158" s="3"/>
      <c r="L158" s="3"/>
      <c r="M158" s="3"/>
      <c r="N158" s="3"/>
      <c r="O158" s="3"/>
      <c r="P158" s="3"/>
      <c r="Q158" s="3"/>
    </row>
    <row r="159" spans="1:17" ht="60" customHeight="1" x14ac:dyDescent="0.25">
      <c r="A159" s="9">
        <f>IF(F159="","",ROW()-19-COUNTBLANK($F$20:F159))</f>
        <v>120</v>
      </c>
      <c r="B159" s="4" t="s">
        <v>2112</v>
      </c>
      <c r="C159" s="4" t="s">
        <v>2113</v>
      </c>
      <c r="D159" s="4" t="s">
        <v>2114</v>
      </c>
      <c r="E159" s="7" t="s">
        <v>2318</v>
      </c>
      <c r="F159" s="7" t="s">
        <v>2116</v>
      </c>
      <c r="G159" s="3" t="s">
        <v>50</v>
      </c>
      <c r="H159" s="3"/>
      <c r="I159" s="3"/>
      <c r="J159" s="3"/>
      <c r="K159" s="3"/>
      <c r="L159" s="3"/>
      <c r="M159" s="3"/>
      <c r="N159" s="3"/>
      <c r="O159" s="3"/>
      <c r="P159" s="3"/>
      <c r="Q159" s="3"/>
    </row>
    <row r="160" spans="1:17" ht="20.100000000000001" customHeight="1" x14ac:dyDescent="0.25">
      <c r="A160" s="9" t="str">
        <f>IF(F160="","",ROW()-19-COUNTBLANK($F$20:F160))</f>
        <v/>
      </c>
      <c r="B160" s="12" t="s">
        <v>2117</v>
      </c>
      <c r="C160" s="12"/>
      <c r="D160" s="12"/>
      <c r="E160" s="12"/>
      <c r="F160" s="12"/>
      <c r="G160" s="12"/>
      <c r="H160" s="12"/>
      <c r="I160" s="12"/>
      <c r="J160" s="12"/>
      <c r="K160" s="12"/>
      <c r="L160" s="12"/>
      <c r="M160" s="12"/>
      <c r="N160" s="12"/>
      <c r="O160" s="12"/>
      <c r="P160" s="12"/>
      <c r="Q160" s="12"/>
    </row>
    <row r="161" spans="1:17" ht="60" customHeight="1" x14ac:dyDescent="0.25">
      <c r="A161" s="9">
        <f>IF(F161="","",ROW()-19-COUNTBLANK($F$20:F161))</f>
        <v>121</v>
      </c>
      <c r="B161" s="4" t="s">
        <v>2118</v>
      </c>
      <c r="C161" s="4" t="s">
        <v>2119</v>
      </c>
      <c r="D161" s="4" t="s">
        <v>2120</v>
      </c>
      <c r="E161" s="7" t="s">
        <v>2294</v>
      </c>
      <c r="F161" s="7" t="s">
        <v>2121</v>
      </c>
      <c r="G161" s="3" t="s">
        <v>50</v>
      </c>
      <c r="H161" s="3"/>
      <c r="I161" s="3"/>
      <c r="J161" s="3"/>
      <c r="K161" s="3"/>
      <c r="L161" s="3"/>
      <c r="M161" s="3"/>
      <c r="N161" s="3"/>
      <c r="O161" s="3"/>
      <c r="P161" s="3"/>
      <c r="Q161" s="3"/>
    </row>
    <row r="162" spans="1:17" ht="60" customHeight="1" x14ac:dyDescent="0.25">
      <c r="A162" s="9">
        <f>IF(F162="","",ROW()-19-COUNTBLANK($F$20:F162))</f>
        <v>122</v>
      </c>
      <c r="B162" s="17" t="s">
        <v>2122</v>
      </c>
      <c r="C162" s="4" t="s">
        <v>2123</v>
      </c>
      <c r="D162" s="4" t="s">
        <v>2124</v>
      </c>
      <c r="E162" s="7" t="s">
        <v>2294</v>
      </c>
      <c r="F162" s="7" t="s">
        <v>2125</v>
      </c>
      <c r="G162" s="3" t="s">
        <v>50</v>
      </c>
      <c r="H162" s="3"/>
      <c r="I162" s="3"/>
      <c r="J162" s="3"/>
      <c r="K162" s="3"/>
      <c r="L162" s="3"/>
      <c r="M162" s="3"/>
      <c r="N162" s="3"/>
      <c r="O162" s="3"/>
      <c r="P162" s="3"/>
      <c r="Q162" s="3"/>
    </row>
    <row r="163" spans="1:17" ht="60" customHeight="1" x14ac:dyDescent="0.25">
      <c r="A163" s="9">
        <f>IF(F163="","",ROW()-19-COUNTBLANK($F$20:F163))</f>
        <v>123</v>
      </c>
      <c r="B163" s="18"/>
      <c r="C163" s="4" t="s">
        <v>2126</v>
      </c>
      <c r="D163" s="4" t="s">
        <v>2127</v>
      </c>
      <c r="E163" s="7" t="s">
        <v>2294</v>
      </c>
      <c r="F163" s="7" t="s">
        <v>2128</v>
      </c>
      <c r="G163" s="3" t="s">
        <v>50</v>
      </c>
      <c r="H163" s="3"/>
      <c r="I163" s="3"/>
      <c r="J163" s="3"/>
      <c r="K163" s="3"/>
      <c r="L163" s="3"/>
      <c r="M163" s="3"/>
      <c r="N163" s="3"/>
      <c r="O163" s="3"/>
      <c r="P163" s="3"/>
      <c r="Q163" s="3"/>
    </row>
    <row r="164" spans="1:17" ht="60" customHeight="1" x14ac:dyDescent="0.25">
      <c r="A164" s="9">
        <f>IF(F164="","",ROW()-19-COUNTBLANK($F$20:F164))</f>
        <v>124</v>
      </c>
      <c r="B164" s="18"/>
      <c r="C164" s="4" t="s">
        <v>2129</v>
      </c>
      <c r="D164" s="4" t="s">
        <v>2130</v>
      </c>
      <c r="E164" s="7" t="s">
        <v>2294</v>
      </c>
      <c r="F164" s="7" t="s">
        <v>2131</v>
      </c>
      <c r="G164" s="3" t="s">
        <v>50</v>
      </c>
      <c r="H164" s="3"/>
      <c r="I164" s="3"/>
      <c r="J164" s="3"/>
      <c r="K164" s="3"/>
      <c r="L164" s="3"/>
      <c r="M164" s="3"/>
      <c r="N164" s="3"/>
      <c r="O164" s="3"/>
      <c r="P164" s="3"/>
      <c r="Q164" s="3"/>
    </row>
    <row r="165" spans="1:17" ht="60" customHeight="1" x14ac:dyDescent="0.25">
      <c r="A165" s="9">
        <f>IF(F165="","",ROW()-19-COUNTBLANK($F$20:F165))</f>
        <v>125</v>
      </c>
      <c r="B165" s="18"/>
      <c r="C165" s="4" t="s">
        <v>2132</v>
      </c>
      <c r="D165" s="4" t="s">
        <v>2133</v>
      </c>
      <c r="E165" s="7" t="s">
        <v>2294</v>
      </c>
      <c r="F165" s="7" t="s">
        <v>2134</v>
      </c>
      <c r="G165" s="3" t="s">
        <v>50</v>
      </c>
      <c r="H165" s="3"/>
      <c r="I165" s="3"/>
      <c r="J165" s="3"/>
      <c r="K165" s="3"/>
      <c r="L165" s="3"/>
      <c r="M165" s="3"/>
      <c r="N165" s="3"/>
      <c r="O165" s="3"/>
      <c r="P165" s="3"/>
      <c r="Q165" s="3"/>
    </row>
    <row r="166" spans="1:17" ht="60" customHeight="1" x14ac:dyDescent="0.25">
      <c r="A166" s="9">
        <f>IF(F166="","",ROW()-19-COUNTBLANK($F$20:F166))</f>
        <v>126</v>
      </c>
      <c r="B166" s="19"/>
      <c r="C166" s="4" t="s">
        <v>2135</v>
      </c>
      <c r="D166" s="4" t="s">
        <v>2136</v>
      </c>
      <c r="E166" s="7" t="s">
        <v>2294</v>
      </c>
      <c r="F166" s="7" t="s">
        <v>2137</v>
      </c>
      <c r="G166" s="3" t="s">
        <v>50</v>
      </c>
      <c r="H166" s="3"/>
      <c r="I166" s="3"/>
      <c r="J166" s="3"/>
      <c r="K166" s="3"/>
      <c r="L166" s="3"/>
      <c r="M166" s="3"/>
      <c r="N166" s="3"/>
      <c r="O166" s="3"/>
      <c r="P166" s="3"/>
      <c r="Q166" s="3"/>
    </row>
    <row r="167" spans="1:17" ht="60" customHeight="1" x14ac:dyDescent="0.25">
      <c r="A167" s="9">
        <f>IF(F167="","",ROW()-19-COUNTBLANK($F$20:F167))</f>
        <v>127</v>
      </c>
      <c r="B167" s="4" t="s">
        <v>2138</v>
      </c>
      <c r="C167" s="4" t="s">
        <v>2139</v>
      </c>
      <c r="D167" s="4" t="s">
        <v>2140</v>
      </c>
      <c r="E167" s="7" t="s">
        <v>2294</v>
      </c>
      <c r="F167" s="7" t="s">
        <v>2141</v>
      </c>
      <c r="G167" s="3" t="s">
        <v>50</v>
      </c>
      <c r="H167" s="3"/>
      <c r="I167" s="3"/>
      <c r="J167" s="3"/>
      <c r="K167" s="3"/>
      <c r="L167" s="3"/>
      <c r="M167" s="3"/>
      <c r="N167" s="3"/>
      <c r="O167" s="3"/>
      <c r="P167" s="3"/>
      <c r="Q167" s="3"/>
    </row>
    <row r="168" spans="1:17" ht="60" customHeight="1" x14ac:dyDescent="0.25">
      <c r="A168" s="9">
        <f>IF(F168="","",ROW()-19-COUNTBLANK($F$20:F168))</f>
        <v>128</v>
      </c>
      <c r="B168" s="4" t="s">
        <v>2142</v>
      </c>
      <c r="C168" s="4" t="s">
        <v>2143</v>
      </c>
      <c r="D168" s="4" t="s">
        <v>2144</v>
      </c>
      <c r="E168" s="7" t="s">
        <v>2319</v>
      </c>
      <c r="F168" s="7" t="s">
        <v>2146</v>
      </c>
      <c r="G168" s="3" t="s">
        <v>55</v>
      </c>
      <c r="H168" s="3"/>
      <c r="I168" s="3"/>
      <c r="J168" s="3"/>
      <c r="K168" s="3"/>
      <c r="L168" s="3"/>
      <c r="M168" s="3"/>
      <c r="N168" s="3"/>
      <c r="O168" s="3"/>
      <c r="P168" s="3"/>
      <c r="Q168" s="3"/>
    </row>
    <row r="169" spans="1:17" ht="20.100000000000001" customHeight="1" x14ac:dyDescent="0.25">
      <c r="A169" s="9" t="str">
        <f>IF(F169="","",ROW()-19-COUNTBLANK($F$20:F169))</f>
        <v/>
      </c>
      <c r="B169" s="12" t="s">
        <v>2147</v>
      </c>
      <c r="C169" s="12"/>
      <c r="D169" s="12"/>
      <c r="E169" s="12"/>
      <c r="F169" s="12"/>
      <c r="G169" s="12"/>
      <c r="H169" s="12"/>
      <c r="I169" s="12"/>
      <c r="J169" s="12"/>
      <c r="K169" s="12"/>
      <c r="L169" s="12"/>
      <c r="M169" s="12"/>
      <c r="N169" s="12"/>
      <c r="O169" s="12"/>
      <c r="P169" s="12"/>
      <c r="Q169" s="12"/>
    </row>
    <row r="170" spans="1:17" ht="60" customHeight="1" x14ac:dyDescent="0.25">
      <c r="A170" s="9">
        <f>IF(F170="","",ROW()-19-COUNTBLANK($F$20:F170))</f>
        <v>129</v>
      </c>
      <c r="B170" s="4" t="s">
        <v>2148</v>
      </c>
      <c r="C170" s="4" t="s">
        <v>2149</v>
      </c>
      <c r="D170" s="4" t="s">
        <v>2150</v>
      </c>
      <c r="E170" s="7" t="s">
        <v>2320</v>
      </c>
      <c r="F170" s="7" t="s">
        <v>2152</v>
      </c>
      <c r="G170" s="3" t="s">
        <v>50</v>
      </c>
      <c r="H170" s="3"/>
      <c r="I170" s="3"/>
      <c r="J170" s="3"/>
      <c r="K170" s="3"/>
      <c r="L170" s="3"/>
      <c r="M170" s="3"/>
      <c r="N170" s="3"/>
      <c r="O170" s="3"/>
      <c r="P170" s="3"/>
      <c r="Q170" s="3"/>
    </row>
    <row r="171" spans="1:17" ht="60" customHeight="1" x14ac:dyDescent="0.25">
      <c r="A171" s="9">
        <f>IF(F171="","",ROW()-19-COUNTBLANK($F$20:F171))</f>
        <v>130</v>
      </c>
      <c r="B171" s="4" t="s">
        <v>2153</v>
      </c>
      <c r="C171" s="4" t="s">
        <v>2154</v>
      </c>
      <c r="D171" s="4" t="s">
        <v>2155</v>
      </c>
      <c r="E171" s="7" t="s">
        <v>2320</v>
      </c>
      <c r="F171" s="7" t="s">
        <v>2156</v>
      </c>
      <c r="G171" s="3" t="s">
        <v>50</v>
      </c>
      <c r="H171" s="3"/>
      <c r="I171" s="3"/>
      <c r="J171" s="3"/>
      <c r="K171" s="3"/>
      <c r="L171" s="3"/>
      <c r="M171" s="3"/>
      <c r="N171" s="3"/>
      <c r="O171" s="3"/>
      <c r="P171" s="3"/>
      <c r="Q171" s="3"/>
    </row>
    <row r="172" spans="1:17" ht="60" customHeight="1" x14ac:dyDescent="0.25">
      <c r="A172" s="9">
        <f>IF(F172="","",ROW()-19-COUNTBLANK($F$20:F172))</f>
        <v>131</v>
      </c>
      <c r="B172" s="4" t="s">
        <v>2157</v>
      </c>
      <c r="C172" s="4" t="s">
        <v>1542</v>
      </c>
      <c r="D172" s="4" t="s">
        <v>2158</v>
      </c>
      <c r="E172" s="7" t="s">
        <v>2321</v>
      </c>
      <c r="F172" s="7" t="s">
        <v>1545</v>
      </c>
      <c r="G172" s="3" t="s">
        <v>50</v>
      </c>
      <c r="H172" s="3"/>
      <c r="I172" s="3"/>
      <c r="J172" s="3"/>
      <c r="K172" s="3"/>
      <c r="L172" s="3"/>
      <c r="M172" s="3"/>
      <c r="N172" s="3"/>
      <c r="O172" s="3"/>
      <c r="P172" s="3"/>
      <c r="Q172" s="3"/>
    </row>
    <row r="173" spans="1:17" ht="60" customHeight="1" x14ac:dyDescent="0.25">
      <c r="A173" s="9">
        <f>IF(F173="","",ROW()-19-COUNTBLANK($F$20:F173))</f>
        <v>132</v>
      </c>
      <c r="B173" s="4" t="s">
        <v>2160</v>
      </c>
      <c r="C173" s="4" t="s">
        <v>2161</v>
      </c>
      <c r="D173" s="4" t="s">
        <v>2162</v>
      </c>
      <c r="E173" s="7" t="s">
        <v>2322</v>
      </c>
      <c r="F173" s="7" t="s">
        <v>2164</v>
      </c>
      <c r="G173" s="3" t="s">
        <v>50</v>
      </c>
      <c r="H173" s="3"/>
      <c r="I173" s="3"/>
      <c r="J173" s="3"/>
      <c r="K173" s="3"/>
      <c r="L173" s="3"/>
      <c r="M173" s="3"/>
      <c r="N173" s="3"/>
      <c r="O173" s="3"/>
      <c r="P173" s="3"/>
      <c r="Q173" s="3"/>
    </row>
    <row r="174" spans="1:17" ht="20.100000000000001" customHeight="1" x14ac:dyDescent="0.25">
      <c r="A174" s="9" t="str">
        <f>IF(F174="","",ROW()-19-COUNTBLANK($F$20:F174))</f>
        <v/>
      </c>
      <c r="B174" s="12" t="s">
        <v>2165</v>
      </c>
      <c r="C174" s="12"/>
      <c r="D174" s="12"/>
      <c r="E174" s="12"/>
      <c r="F174" s="12"/>
      <c r="G174" s="12"/>
      <c r="H174" s="12"/>
      <c r="I174" s="12"/>
      <c r="J174" s="12"/>
      <c r="K174" s="12"/>
      <c r="L174" s="12"/>
      <c r="M174" s="12"/>
      <c r="N174" s="12"/>
      <c r="O174" s="12"/>
      <c r="P174" s="12"/>
      <c r="Q174" s="12"/>
    </row>
    <row r="175" spans="1:17" ht="60" customHeight="1" x14ac:dyDescent="0.25">
      <c r="A175" s="9">
        <f>IF(F175="","",ROW()-19-COUNTBLANK($F$20:F175))</f>
        <v>133</v>
      </c>
      <c r="B175" s="4" t="s">
        <v>2166</v>
      </c>
      <c r="C175" s="4" t="s">
        <v>2167</v>
      </c>
      <c r="D175" s="4" t="s">
        <v>2168</v>
      </c>
      <c r="E175" s="7" t="s">
        <v>2202</v>
      </c>
      <c r="F175" s="7" t="s">
        <v>2169</v>
      </c>
      <c r="G175" s="3" t="s">
        <v>50</v>
      </c>
      <c r="H175" s="3"/>
      <c r="I175" s="3"/>
      <c r="J175" s="3"/>
      <c r="K175" s="3"/>
      <c r="L175" s="3"/>
      <c r="M175" s="3"/>
      <c r="N175" s="3"/>
      <c r="O175" s="3"/>
      <c r="P175" s="3"/>
      <c r="Q175" s="3"/>
    </row>
    <row r="176" spans="1:17" ht="60" customHeight="1" x14ac:dyDescent="0.25">
      <c r="A176" s="9">
        <f>IF(F176="","",ROW()-19-COUNTBLANK($F$20:F176))</f>
        <v>134</v>
      </c>
      <c r="B176" s="4" t="s">
        <v>2170</v>
      </c>
      <c r="C176" s="4" t="s">
        <v>2171</v>
      </c>
      <c r="D176" s="4" t="s">
        <v>2172</v>
      </c>
      <c r="E176" s="7" t="s">
        <v>2202</v>
      </c>
      <c r="F176" s="7" t="s">
        <v>2173</v>
      </c>
      <c r="G176" s="3" t="s">
        <v>50</v>
      </c>
      <c r="H176" s="3"/>
      <c r="I176" s="3"/>
      <c r="J176" s="3"/>
      <c r="K176" s="3"/>
      <c r="L176" s="3"/>
      <c r="M176" s="3"/>
      <c r="N176" s="3"/>
      <c r="O176" s="3"/>
      <c r="P176" s="3"/>
      <c r="Q176" s="3"/>
    </row>
    <row r="177" spans="1:17" ht="60" customHeight="1" x14ac:dyDescent="0.25">
      <c r="A177" s="9">
        <f>IF(F177="","",ROW()-19-COUNTBLANK($F$20:F177))</f>
        <v>135</v>
      </c>
      <c r="B177" s="4" t="s">
        <v>2174</v>
      </c>
      <c r="C177" s="4" t="s">
        <v>2175</v>
      </c>
      <c r="D177" s="4" t="s">
        <v>2176</v>
      </c>
      <c r="E177" s="7" t="s">
        <v>2323</v>
      </c>
      <c r="F177" s="7" t="s">
        <v>1545</v>
      </c>
      <c r="G177" s="3" t="s">
        <v>50</v>
      </c>
      <c r="H177" s="3"/>
      <c r="I177" s="3"/>
      <c r="J177" s="3"/>
      <c r="K177" s="3"/>
      <c r="L177" s="3"/>
      <c r="M177" s="3"/>
      <c r="N177" s="3"/>
      <c r="O177" s="3"/>
      <c r="P177" s="3"/>
      <c r="Q177" s="3"/>
    </row>
    <row r="178" spans="1:17" ht="60" customHeight="1" x14ac:dyDescent="0.25">
      <c r="A178" s="9">
        <f>IF(F178="","",ROW()-19-COUNTBLANK($F$20:F178))</f>
        <v>136</v>
      </c>
      <c r="B178" s="4" t="s">
        <v>2178</v>
      </c>
      <c r="C178" s="4" t="s">
        <v>2179</v>
      </c>
      <c r="D178" s="4" t="s">
        <v>2162</v>
      </c>
      <c r="E178" s="7" t="s">
        <v>2324</v>
      </c>
      <c r="F178" s="7" t="s">
        <v>2181</v>
      </c>
      <c r="G178" s="3" t="s">
        <v>50</v>
      </c>
      <c r="H178" s="3"/>
      <c r="I178" s="3"/>
      <c r="J178" s="3"/>
      <c r="K178" s="3"/>
      <c r="L178" s="3"/>
      <c r="M178" s="3"/>
      <c r="N178" s="3"/>
      <c r="O178" s="3"/>
      <c r="P178" s="3"/>
      <c r="Q178" s="3"/>
    </row>
    <row r="179" spans="1:17" ht="20.100000000000001" customHeight="1" x14ac:dyDescent="0.25">
      <c r="A179" s="9" t="str">
        <f>IF(F179="","",ROW()-19-COUNTBLANK($F$20:F179))</f>
        <v/>
      </c>
      <c r="B179" s="12" t="s">
        <v>1546</v>
      </c>
      <c r="C179" s="12"/>
      <c r="D179" s="12"/>
      <c r="E179" s="12"/>
      <c r="F179" s="12"/>
      <c r="G179" s="12"/>
      <c r="H179" s="12"/>
      <c r="I179" s="12"/>
      <c r="J179" s="12"/>
      <c r="K179" s="12"/>
      <c r="L179" s="12"/>
      <c r="M179" s="12"/>
      <c r="N179" s="12"/>
      <c r="O179" s="12"/>
      <c r="P179" s="12"/>
      <c r="Q179" s="12"/>
    </row>
    <row r="180" spans="1:17" ht="60" customHeight="1" x14ac:dyDescent="0.25">
      <c r="A180" s="9">
        <f>IF(F180="","",ROW()-19-COUNTBLANK($F$20:F180))</f>
        <v>137</v>
      </c>
      <c r="B180" s="4" t="s">
        <v>2182</v>
      </c>
      <c r="C180" s="4" t="s">
        <v>2183</v>
      </c>
      <c r="D180" s="4" t="s">
        <v>1549</v>
      </c>
      <c r="E180" s="7" t="s">
        <v>2201</v>
      </c>
      <c r="F180" s="7" t="s">
        <v>2325</v>
      </c>
      <c r="G180" s="3" t="s">
        <v>50</v>
      </c>
      <c r="H180" s="3"/>
      <c r="I180" s="3"/>
      <c r="J180" s="3"/>
      <c r="K180" s="3"/>
      <c r="L180" s="3"/>
      <c r="M180" s="3"/>
      <c r="N180" s="3"/>
      <c r="O180" s="3"/>
      <c r="P180" s="3"/>
      <c r="Q180" s="3"/>
    </row>
    <row r="181" spans="1:17" ht="60" customHeight="1" x14ac:dyDescent="0.25">
      <c r="A181" s="9">
        <f>IF(F181="","",ROW()-19-COUNTBLANK($F$20:F181))</f>
        <v>138</v>
      </c>
      <c r="B181" s="4" t="s">
        <v>2185</v>
      </c>
      <c r="C181" s="4" t="s">
        <v>2186</v>
      </c>
      <c r="D181" s="4" t="s">
        <v>2187</v>
      </c>
      <c r="E181" s="7" t="s">
        <v>2188</v>
      </c>
      <c r="F181" s="7" t="s">
        <v>2189</v>
      </c>
      <c r="G181" s="3" t="s">
        <v>50</v>
      </c>
      <c r="H181" s="3"/>
      <c r="I181" s="3"/>
      <c r="J181" s="3"/>
      <c r="K181" s="3"/>
      <c r="L181" s="3"/>
      <c r="M181" s="3"/>
      <c r="N181" s="3"/>
      <c r="O181" s="3"/>
      <c r="P181" s="3"/>
      <c r="Q181" s="3"/>
    </row>
  </sheetData>
  <mergeCells count="28">
    <mergeCell ref="A15:A17"/>
    <mergeCell ref="B69:B70"/>
    <mergeCell ref="B1:F1"/>
    <mergeCell ref="B83:B89"/>
    <mergeCell ref="B44:B47"/>
    <mergeCell ref="B80:B81"/>
    <mergeCell ref="C15:C17"/>
    <mergeCell ref="B72:B74"/>
    <mergeCell ref="B19:F19"/>
    <mergeCell ref="F15:F17"/>
    <mergeCell ref="B64:B67"/>
    <mergeCell ref="B56:B57"/>
    <mergeCell ref="E15:E17"/>
    <mergeCell ref="D15:D17"/>
    <mergeCell ref="B162:B166"/>
    <mergeCell ref="B91:B96"/>
    <mergeCell ref="Q15:Q17"/>
    <mergeCell ref="B150:F150"/>
    <mergeCell ref="B15:B17"/>
    <mergeCell ref="B59:B62"/>
    <mergeCell ref="B18:F18"/>
    <mergeCell ref="H15:H17"/>
    <mergeCell ref="B98:B99"/>
    <mergeCell ref="P15:P17"/>
    <mergeCell ref="O15:O17"/>
    <mergeCell ref="I15:N15"/>
    <mergeCell ref="G15:G17"/>
    <mergeCell ref="I16:N1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305"/>
  <sheetViews>
    <sheetView workbookViewId="0"/>
  </sheetViews>
  <sheetFormatPr defaultRowHeight="15" x14ac:dyDescent="0.25"/>
  <cols>
    <col min="1" max="1" width="13" customWidth="1"/>
    <col min="2" max="2" width="33.5703125" customWidth="1"/>
    <col min="3" max="4" width="28" customWidth="1"/>
    <col min="5" max="5" width="44.28515625" customWidth="1"/>
    <col min="6" max="6" width="59.7109375" customWidth="1"/>
    <col min="7" max="7" width="12.5703125" customWidth="1"/>
    <col min="8" max="17" width="13" customWidth="1"/>
  </cols>
  <sheetData>
    <row r="1" spans="1:17" x14ac:dyDescent="0.25">
      <c r="B1" s="25" t="s">
        <v>20</v>
      </c>
      <c r="C1" s="14"/>
      <c r="D1" s="14"/>
      <c r="E1" s="14"/>
      <c r="F1" s="14"/>
    </row>
    <row r="3" spans="1:17" ht="94.5" x14ac:dyDescent="0.25">
      <c r="B3" s="6" t="s">
        <v>21</v>
      </c>
      <c r="C3" s="7" t="s">
        <v>15</v>
      </c>
      <c r="E3" s="6" t="s">
        <v>22</v>
      </c>
      <c r="F3" s="8"/>
    </row>
    <row r="4" spans="1:17" ht="15.75" x14ac:dyDescent="0.25">
      <c r="B4" s="6" t="s">
        <v>23</v>
      </c>
      <c r="C4" s="7" t="s">
        <v>24</v>
      </c>
      <c r="E4" s="6" t="s">
        <v>25</v>
      </c>
    </row>
    <row r="6" spans="1:17" ht="15.75" x14ac:dyDescent="0.25">
      <c r="B6" s="6" t="s">
        <v>3</v>
      </c>
    </row>
    <row r="7" spans="1:17" ht="15.75" x14ac:dyDescent="0.25">
      <c r="B7" s="6" t="s">
        <v>4</v>
      </c>
      <c r="C7" s="9">
        <f>COUNTIF($O$20:$O$305,"P")</f>
        <v>0</v>
      </c>
    </row>
    <row r="8" spans="1:17" ht="31.5" x14ac:dyDescent="0.25">
      <c r="B8" s="6" t="s">
        <v>5</v>
      </c>
      <c r="C8" s="9">
        <f>COUNTIF($O$20:$O$305,"F")</f>
        <v>0</v>
      </c>
    </row>
    <row r="9" spans="1:17" ht="31.5" x14ac:dyDescent="0.25">
      <c r="B9" s="6" t="s">
        <v>6</v>
      </c>
      <c r="C9" s="9">
        <f>COUNTIF($O$20:$O$305,"PE")</f>
        <v>0</v>
      </c>
    </row>
    <row r="10" spans="1:17" ht="31.5" x14ac:dyDescent="0.25">
      <c r="B10" s="6" t="s">
        <v>7</v>
      </c>
      <c r="C10" s="9">
        <f>C11-C7-C8-C9</f>
        <v>255</v>
      </c>
    </row>
    <row r="11" spans="1:17" ht="15.75" x14ac:dyDescent="0.25">
      <c r="B11" s="6" t="s">
        <v>8</v>
      </c>
      <c r="C11" s="9">
        <f>COUNTA($F$20:$F$305)</f>
        <v>255</v>
      </c>
    </row>
    <row r="15" spans="1:17" x14ac:dyDescent="0.25">
      <c r="A15" s="20" t="s">
        <v>26</v>
      </c>
      <c r="B15" s="20" t="s">
        <v>27</v>
      </c>
      <c r="C15" s="20" t="s">
        <v>28</v>
      </c>
      <c r="D15" s="20" t="s">
        <v>29</v>
      </c>
      <c r="E15" s="20" t="s">
        <v>30</v>
      </c>
      <c r="F15" s="20" t="s">
        <v>31</v>
      </c>
      <c r="G15" s="20" t="s">
        <v>32</v>
      </c>
      <c r="H15" s="20" t="s">
        <v>33</v>
      </c>
      <c r="I15" s="20" t="s">
        <v>34</v>
      </c>
      <c r="J15" s="14"/>
      <c r="K15" s="14"/>
      <c r="L15" s="14"/>
      <c r="M15" s="14"/>
      <c r="N15" s="14"/>
      <c r="O15" s="20" t="s">
        <v>35</v>
      </c>
      <c r="P15" s="20" t="s">
        <v>36</v>
      </c>
      <c r="Q15" s="20" t="s">
        <v>37</v>
      </c>
    </row>
    <row r="16" spans="1:17" x14ac:dyDescent="0.25">
      <c r="A16" s="14"/>
      <c r="B16" s="14"/>
      <c r="C16" s="14"/>
      <c r="D16" s="14"/>
      <c r="E16" s="14"/>
      <c r="F16" s="14"/>
      <c r="G16" s="14"/>
      <c r="H16" s="14"/>
      <c r="I16" s="20" t="s">
        <v>38</v>
      </c>
      <c r="J16" s="14"/>
      <c r="K16" s="14"/>
      <c r="L16" s="14"/>
      <c r="M16" s="14"/>
      <c r="N16" s="14"/>
      <c r="O16" s="14"/>
      <c r="P16" s="14"/>
      <c r="Q16" s="14"/>
    </row>
    <row r="17" spans="1:17" ht="31.5" x14ac:dyDescent="0.25">
      <c r="A17" s="14"/>
      <c r="B17" s="14"/>
      <c r="C17" s="14"/>
      <c r="D17" s="14"/>
      <c r="E17" s="14"/>
      <c r="F17" s="14"/>
      <c r="G17" s="14"/>
      <c r="H17" s="14"/>
      <c r="I17" s="10" t="s">
        <v>39</v>
      </c>
      <c r="J17" s="10" t="s">
        <v>40</v>
      </c>
      <c r="K17" s="10" t="s">
        <v>41</v>
      </c>
      <c r="L17" s="10" t="s">
        <v>40</v>
      </c>
      <c r="M17" s="10" t="s">
        <v>42</v>
      </c>
      <c r="N17" s="10" t="s">
        <v>40</v>
      </c>
      <c r="O17" s="14"/>
      <c r="P17" s="14"/>
      <c r="Q17" s="14"/>
    </row>
    <row r="18" spans="1:17" ht="80.099999999999994" customHeight="1" x14ac:dyDescent="0.25">
      <c r="B18" s="21" t="s">
        <v>2326</v>
      </c>
      <c r="C18" s="14"/>
      <c r="D18" s="14"/>
      <c r="E18" s="14"/>
      <c r="F18" s="14"/>
    </row>
    <row r="19" spans="1:17" ht="20.100000000000001" customHeight="1" x14ac:dyDescent="0.25">
      <c r="A19" s="11"/>
      <c r="B19" s="22" t="s">
        <v>44</v>
      </c>
      <c r="C19" s="23"/>
      <c r="D19" s="23"/>
      <c r="E19" s="23"/>
      <c r="F19" s="24"/>
      <c r="G19" s="11"/>
      <c r="H19" s="11"/>
      <c r="I19" s="11"/>
      <c r="J19" s="11"/>
      <c r="K19" s="11"/>
      <c r="L19" s="11"/>
      <c r="M19" s="11"/>
      <c r="N19" s="11"/>
      <c r="O19" s="11"/>
      <c r="P19" s="11"/>
      <c r="Q19" s="11"/>
    </row>
    <row r="20" spans="1:17" ht="20.100000000000001" customHeight="1" x14ac:dyDescent="0.25">
      <c r="A20" s="9" t="str">
        <f>IF(F20="","",ROW()-19-COUNTBLANK($F$20:F20))</f>
        <v/>
      </c>
      <c r="B20" s="12" t="s">
        <v>45</v>
      </c>
      <c r="C20" s="12"/>
      <c r="D20" s="12"/>
      <c r="E20" s="12"/>
      <c r="F20" s="12"/>
      <c r="G20" s="12"/>
      <c r="H20" s="12"/>
      <c r="I20" s="12"/>
      <c r="J20" s="12"/>
      <c r="K20" s="12"/>
      <c r="L20" s="12"/>
      <c r="M20" s="12"/>
      <c r="N20" s="12"/>
      <c r="O20" s="12"/>
      <c r="P20" s="12"/>
      <c r="Q20" s="12"/>
    </row>
    <row r="21" spans="1:17" ht="60" customHeight="1" x14ac:dyDescent="0.25">
      <c r="A21" s="9">
        <f>IF(F21="","",ROW()-19-COUNTBLANK($F$20:F21))</f>
        <v>1</v>
      </c>
      <c r="B21" s="4" t="s">
        <v>46</v>
      </c>
      <c r="C21" s="4" t="s">
        <v>2327</v>
      </c>
      <c r="D21" s="4"/>
      <c r="E21" s="7" t="s">
        <v>2328</v>
      </c>
      <c r="F21" s="7" t="s">
        <v>2329</v>
      </c>
      <c r="G21" s="3" t="s">
        <v>50</v>
      </c>
      <c r="H21" s="3"/>
      <c r="I21" s="3"/>
      <c r="J21" s="3"/>
      <c r="K21" s="3"/>
      <c r="L21" s="3"/>
      <c r="M21" s="3"/>
      <c r="N21" s="3"/>
      <c r="O21" s="3"/>
      <c r="P21" s="3"/>
      <c r="Q21" s="3"/>
    </row>
    <row r="22" spans="1:17" ht="60" customHeight="1" x14ac:dyDescent="0.25">
      <c r="A22" s="9">
        <f>IF(F22="","",ROW()-19-COUNTBLANK($F$20:F22))</f>
        <v>2</v>
      </c>
      <c r="B22" s="4" t="s">
        <v>51</v>
      </c>
      <c r="C22" s="4" t="s">
        <v>52</v>
      </c>
      <c r="D22" s="4"/>
      <c r="E22" s="7" t="s">
        <v>2330</v>
      </c>
      <c r="F22" s="7" t="s">
        <v>54</v>
      </c>
      <c r="G22" s="3" t="s">
        <v>55</v>
      </c>
      <c r="H22" s="3"/>
      <c r="I22" s="3"/>
      <c r="J22" s="3"/>
      <c r="K22" s="3"/>
      <c r="L22" s="3"/>
      <c r="M22" s="3"/>
      <c r="N22" s="3"/>
      <c r="O22" s="3"/>
      <c r="P22" s="3"/>
      <c r="Q22" s="3"/>
    </row>
    <row r="23" spans="1:17" ht="60" customHeight="1" x14ac:dyDescent="0.25">
      <c r="A23" s="9">
        <f>IF(F23="","",ROW()-19-COUNTBLANK($F$20:F23))</f>
        <v>3</v>
      </c>
      <c r="B23" s="4" t="s">
        <v>56</v>
      </c>
      <c r="C23" s="4" t="s">
        <v>57</v>
      </c>
      <c r="D23" s="4"/>
      <c r="E23" s="7" t="s">
        <v>2331</v>
      </c>
      <c r="F23" s="7" t="s">
        <v>2332</v>
      </c>
      <c r="G23" s="3" t="s">
        <v>55</v>
      </c>
      <c r="H23" s="3"/>
      <c r="I23" s="3"/>
      <c r="J23" s="3"/>
      <c r="K23" s="3"/>
      <c r="L23" s="3"/>
      <c r="M23" s="3"/>
      <c r="N23" s="3"/>
      <c r="O23" s="3"/>
      <c r="P23" s="3"/>
      <c r="Q23" s="3"/>
    </row>
    <row r="24" spans="1:17" ht="60" customHeight="1" x14ac:dyDescent="0.25">
      <c r="A24" s="9">
        <f>IF(F24="","",ROW()-19-COUNTBLANK($F$20:F24))</f>
        <v>4</v>
      </c>
      <c r="B24" s="4" t="s">
        <v>60</v>
      </c>
      <c r="C24" s="4" t="s">
        <v>61</v>
      </c>
      <c r="D24" s="4"/>
      <c r="E24" s="7" t="s">
        <v>2333</v>
      </c>
      <c r="F24" s="7" t="s">
        <v>63</v>
      </c>
      <c r="G24" s="3" t="s">
        <v>55</v>
      </c>
      <c r="H24" s="3"/>
      <c r="I24" s="3"/>
      <c r="J24" s="3"/>
      <c r="K24" s="3"/>
      <c r="L24" s="3"/>
      <c r="M24" s="3"/>
      <c r="N24" s="3"/>
      <c r="O24" s="3"/>
      <c r="P24" s="3"/>
      <c r="Q24" s="3"/>
    </row>
    <row r="25" spans="1:17" ht="60" customHeight="1" x14ac:dyDescent="0.25">
      <c r="A25" s="9">
        <f>IF(F25="","",ROW()-19-COUNTBLANK($F$20:F25))</f>
        <v>5</v>
      </c>
      <c r="B25" s="4" t="s">
        <v>64</v>
      </c>
      <c r="C25" s="4" t="s">
        <v>65</v>
      </c>
      <c r="D25" s="4"/>
      <c r="E25" s="7" t="s">
        <v>2334</v>
      </c>
      <c r="F25" s="7" t="s">
        <v>2335</v>
      </c>
      <c r="G25" s="3" t="s">
        <v>55</v>
      </c>
      <c r="H25" s="3"/>
      <c r="I25" s="3"/>
      <c r="J25" s="3"/>
      <c r="K25" s="3"/>
      <c r="L25" s="3"/>
      <c r="M25" s="3"/>
      <c r="N25" s="3"/>
      <c r="O25" s="3"/>
      <c r="P25" s="3"/>
      <c r="Q25" s="3"/>
    </row>
    <row r="26" spans="1:17" ht="60" customHeight="1" x14ac:dyDescent="0.25">
      <c r="A26" s="9">
        <f>IF(F26="","",ROW()-19-COUNTBLANK($F$20:F26))</f>
        <v>6</v>
      </c>
      <c r="B26" s="4" t="s">
        <v>68</v>
      </c>
      <c r="C26" s="4" t="s">
        <v>69</v>
      </c>
      <c r="D26" s="4" t="s">
        <v>70</v>
      </c>
      <c r="E26" s="7" t="s">
        <v>2336</v>
      </c>
      <c r="F26" s="7" t="s">
        <v>72</v>
      </c>
      <c r="G26" s="3" t="s">
        <v>73</v>
      </c>
      <c r="H26" s="3"/>
      <c r="I26" s="3"/>
      <c r="J26" s="3"/>
      <c r="K26" s="3"/>
      <c r="L26" s="3"/>
      <c r="M26" s="3"/>
      <c r="N26" s="3"/>
      <c r="O26" s="3"/>
      <c r="P26" s="3"/>
      <c r="Q26" s="3"/>
    </row>
    <row r="27" spans="1:17" ht="60" customHeight="1" x14ac:dyDescent="0.25">
      <c r="A27" s="9">
        <f>IF(F27="","",ROW()-19-COUNTBLANK($F$20:F27))</f>
        <v>7</v>
      </c>
      <c r="B27" s="4" t="s">
        <v>74</v>
      </c>
      <c r="C27" s="4" t="s">
        <v>75</v>
      </c>
      <c r="D27" s="4" t="s">
        <v>76</v>
      </c>
      <c r="E27" s="7" t="s">
        <v>2337</v>
      </c>
      <c r="F27" s="7" t="s">
        <v>78</v>
      </c>
      <c r="G27" s="3" t="s">
        <v>73</v>
      </c>
      <c r="H27" s="3"/>
      <c r="I27" s="3"/>
      <c r="J27" s="3"/>
      <c r="K27" s="3"/>
      <c r="L27" s="3"/>
      <c r="M27" s="3"/>
      <c r="N27" s="3"/>
      <c r="O27" s="3"/>
      <c r="P27" s="3"/>
      <c r="Q27" s="3"/>
    </row>
    <row r="28" spans="1:17" ht="20.100000000000001" customHeight="1" x14ac:dyDescent="0.25">
      <c r="A28" s="9" t="str">
        <f>IF(F28="","",ROW()-19-COUNTBLANK($F$20:F28))</f>
        <v/>
      </c>
      <c r="B28" s="12" t="s">
        <v>91</v>
      </c>
      <c r="C28" s="12"/>
      <c r="D28" s="12"/>
      <c r="E28" s="12"/>
      <c r="F28" s="12"/>
      <c r="G28" s="12"/>
      <c r="H28" s="12"/>
      <c r="I28" s="12"/>
      <c r="J28" s="12"/>
      <c r="K28" s="12"/>
      <c r="L28" s="12"/>
      <c r="M28" s="12"/>
      <c r="N28" s="12"/>
      <c r="O28" s="12"/>
      <c r="P28" s="12"/>
      <c r="Q28" s="12"/>
    </row>
    <row r="29" spans="1:17" ht="60" customHeight="1" x14ac:dyDescent="0.25">
      <c r="A29" s="9">
        <f>IF(F29="","",ROW()-19-COUNTBLANK($F$20:F29))</f>
        <v>8</v>
      </c>
      <c r="B29" s="4" t="s">
        <v>92</v>
      </c>
      <c r="C29" s="4" t="s">
        <v>93</v>
      </c>
      <c r="D29" s="4"/>
      <c r="E29" s="7" t="s">
        <v>2338</v>
      </c>
      <c r="F29" s="7" t="s">
        <v>95</v>
      </c>
      <c r="G29" s="3" t="s">
        <v>73</v>
      </c>
      <c r="H29" s="3"/>
      <c r="I29" s="3"/>
      <c r="J29" s="3"/>
      <c r="K29" s="3"/>
      <c r="L29" s="3"/>
      <c r="M29" s="3"/>
      <c r="N29" s="3"/>
      <c r="O29" s="3"/>
      <c r="P29" s="3"/>
      <c r="Q29" s="3"/>
    </row>
    <row r="30" spans="1:17" ht="60" customHeight="1" x14ac:dyDescent="0.25">
      <c r="A30" s="9">
        <f>IF(F30="","",ROW()-19-COUNTBLANK($F$20:F30))</f>
        <v>9</v>
      </c>
      <c r="B30" s="4" t="s">
        <v>96</v>
      </c>
      <c r="C30" s="4" t="s">
        <v>97</v>
      </c>
      <c r="D30" s="4"/>
      <c r="E30" s="7" t="s">
        <v>2339</v>
      </c>
      <c r="F30" s="7" t="s">
        <v>2340</v>
      </c>
      <c r="G30" s="3" t="s">
        <v>55</v>
      </c>
      <c r="H30" s="3"/>
      <c r="I30" s="3"/>
      <c r="J30" s="3"/>
      <c r="K30" s="3"/>
      <c r="L30" s="3"/>
      <c r="M30" s="3"/>
      <c r="N30" s="3"/>
      <c r="O30" s="3"/>
      <c r="P30" s="3"/>
      <c r="Q30" s="3"/>
    </row>
    <row r="31" spans="1:17" ht="60" customHeight="1" x14ac:dyDescent="0.25">
      <c r="A31" s="9">
        <f>IF(F31="","",ROW()-19-COUNTBLANK($F$20:F31))</f>
        <v>10</v>
      </c>
      <c r="B31" s="4" t="s">
        <v>100</v>
      </c>
      <c r="C31" s="4" t="s">
        <v>101</v>
      </c>
      <c r="D31" s="4"/>
      <c r="E31" s="7" t="s">
        <v>2341</v>
      </c>
      <c r="F31" s="7" t="s">
        <v>103</v>
      </c>
      <c r="G31" s="3" t="s">
        <v>50</v>
      </c>
      <c r="H31" s="3"/>
      <c r="I31" s="3"/>
      <c r="J31" s="3"/>
      <c r="K31" s="3"/>
      <c r="L31" s="3"/>
      <c r="M31" s="3"/>
      <c r="N31" s="3"/>
      <c r="O31" s="3"/>
      <c r="P31" s="3"/>
      <c r="Q31" s="3"/>
    </row>
    <row r="32" spans="1:17" ht="60" customHeight="1" x14ac:dyDescent="0.25">
      <c r="A32" s="9">
        <f>IF(F32="","",ROW()-19-COUNTBLANK($F$20:F32))</f>
        <v>11</v>
      </c>
      <c r="B32" s="4" t="s">
        <v>104</v>
      </c>
      <c r="C32" s="4" t="s">
        <v>105</v>
      </c>
      <c r="D32" s="4" t="s">
        <v>106</v>
      </c>
      <c r="E32" s="7" t="s">
        <v>2342</v>
      </c>
      <c r="F32" s="7" t="s">
        <v>108</v>
      </c>
      <c r="G32" s="3" t="s">
        <v>50</v>
      </c>
      <c r="H32" s="3"/>
      <c r="I32" s="3"/>
      <c r="J32" s="3"/>
      <c r="K32" s="3"/>
      <c r="L32" s="3"/>
      <c r="M32" s="3"/>
      <c r="N32" s="3"/>
      <c r="O32" s="3"/>
      <c r="P32" s="3"/>
      <c r="Q32" s="3"/>
    </row>
    <row r="33" spans="1:17" ht="60" customHeight="1" x14ac:dyDescent="0.25">
      <c r="A33" s="9">
        <f>IF(F33="","",ROW()-19-COUNTBLANK($F$20:F33))</f>
        <v>12</v>
      </c>
      <c r="B33" s="4" t="s">
        <v>109</v>
      </c>
      <c r="C33" s="4" t="s">
        <v>110</v>
      </c>
      <c r="D33" s="4"/>
      <c r="E33" s="7" t="s">
        <v>2343</v>
      </c>
      <c r="F33" s="7" t="s">
        <v>112</v>
      </c>
      <c r="G33" s="3" t="s">
        <v>55</v>
      </c>
      <c r="H33" s="3"/>
      <c r="I33" s="3"/>
      <c r="J33" s="3"/>
      <c r="K33" s="3"/>
      <c r="L33" s="3"/>
      <c r="M33" s="3"/>
      <c r="N33" s="3"/>
      <c r="O33" s="3"/>
      <c r="P33" s="3"/>
      <c r="Q33" s="3"/>
    </row>
    <row r="34" spans="1:17" ht="20.100000000000001" customHeight="1" x14ac:dyDescent="0.25">
      <c r="A34" s="9" t="str">
        <f>IF(F34="","",ROW()-19-COUNTBLANK($F$20:F34))</f>
        <v/>
      </c>
      <c r="B34" s="12" t="s">
        <v>2344</v>
      </c>
      <c r="C34" s="12"/>
      <c r="D34" s="12"/>
      <c r="E34" s="12"/>
      <c r="F34" s="12"/>
      <c r="G34" s="12"/>
      <c r="H34" s="12"/>
      <c r="I34" s="12"/>
      <c r="J34" s="12"/>
      <c r="K34" s="12"/>
      <c r="L34" s="12"/>
      <c r="M34" s="12"/>
      <c r="N34" s="12"/>
      <c r="O34" s="12"/>
      <c r="P34" s="12"/>
      <c r="Q34" s="12"/>
    </row>
    <row r="35" spans="1:17" ht="60" customHeight="1" x14ac:dyDescent="0.25">
      <c r="A35" s="9">
        <f>IF(F35="","",ROW()-19-COUNTBLANK($F$20:F35))</f>
        <v>13</v>
      </c>
      <c r="B35" s="4" t="s">
        <v>85</v>
      </c>
      <c r="C35" s="4" t="s">
        <v>85</v>
      </c>
      <c r="D35" s="4"/>
      <c r="E35" s="7" t="s">
        <v>2345</v>
      </c>
      <c r="F35" s="7" t="s">
        <v>2346</v>
      </c>
      <c r="G35" s="3" t="s">
        <v>73</v>
      </c>
      <c r="H35" s="3"/>
      <c r="I35" s="3"/>
      <c r="J35" s="3"/>
      <c r="K35" s="3"/>
      <c r="L35" s="3"/>
      <c r="M35" s="3"/>
      <c r="N35" s="3"/>
      <c r="O35" s="3"/>
      <c r="P35" s="3"/>
      <c r="Q35" s="3"/>
    </row>
    <row r="36" spans="1:17" ht="60" customHeight="1" x14ac:dyDescent="0.25">
      <c r="A36" s="9">
        <f>IF(F36="","",ROW()-19-COUNTBLANK($F$20:F36))</f>
        <v>14</v>
      </c>
      <c r="B36" s="4" t="s">
        <v>88</v>
      </c>
      <c r="C36" s="4" t="s">
        <v>88</v>
      </c>
      <c r="D36" s="4"/>
      <c r="E36" s="7" t="s">
        <v>2347</v>
      </c>
      <c r="F36" s="7" t="s">
        <v>90</v>
      </c>
      <c r="G36" s="3" t="s">
        <v>73</v>
      </c>
      <c r="H36" s="3"/>
      <c r="I36" s="3"/>
      <c r="J36" s="3"/>
      <c r="K36" s="3"/>
      <c r="L36" s="3"/>
      <c r="M36" s="3"/>
      <c r="N36" s="3"/>
      <c r="O36" s="3"/>
      <c r="P36" s="3"/>
      <c r="Q36" s="3"/>
    </row>
    <row r="37" spans="1:17" ht="20.100000000000001" customHeight="1" x14ac:dyDescent="0.25">
      <c r="A37" s="9" t="str">
        <f>IF(F37="","",ROW()-19-COUNTBLANK($F$20:F37))</f>
        <v/>
      </c>
      <c r="B37" s="12" t="s">
        <v>2348</v>
      </c>
      <c r="C37" s="12"/>
      <c r="D37" s="12"/>
      <c r="E37" s="12"/>
      <c r="F37" s="12"/>
      <c r="G37" s="12"/>
      <c r="H37" s="12"/>
      <c r="I37" s="12"/>
      <c r="J37" s="12"/>
      <c r="K37" s="12"/>
      <c r="L37" s="12"/>
      <c r="M37" s="12"/>
      <c r="N37" s="12"/>
      <c r="O37" s="12"/>
      <c r="P37" s="12"/>
      <c r="Q37" s="12"/>
    </row>
    <row r="38" spans="1:17" ht="60" customHeight="1" x14ac:dyDescent="0.25">
      <c r="A38" s="9">
        <f>IF(F38="","",ROW()-19-COUNTBLANK($F$20:F38))</f>
        <v>15</v>
      </c>
      <c r="B38" s="4" t="s">
        <v>2349</v>
      </c>
      <c r="C38" s="4" t="s">
        <v>1610</v>
      </c>
      <c r="D38" s="4"/>
      <c r="E38" s="7" t="s">
        <v>2350</v>
      </c>
      <c r="F38" s="7" t="s">
        <v>2351</v>
      </c>
      <c r="G38" s="3" t="s">
        <v>55</v>
      </c>
      <c r="H38" s="3"/>
      <c r="I38" s="3"/>
      <c r="J38" s="3"/>
      <c r="K38" s="3"/>
      <c r="L38" s="3"/>
      <c r="M38" s="3"/>
      <c r="N38" s="3"/>
      <c r="O38" s="3"/>
      <c r="P38" s="3"/>
      <c r="Q38" s="3"/>
    </row>
    <row r="39" spans="1:17" ht="60" customHeight="1" x14ac:dyDescent="0.25">
      <c r="A39" s="9">
        <f>IF(F39="","",ROW()-19-COUNTBLANK($F$20:F39))</f>
        <v>16</v>
      </c>
      <c r="B39" s="4" t="s">
        <v>2352</v>
      </c>
      <c r="C39" s="4" t="s">
        <v>1618</v>
      </c>
      <c r="D39" s="4"/>
      <c r="E39" s="7" t="s">
        <v>2353</v>
      </c>
      <c r="F39" s="7" t="s">
        <v>2354</v>
      </c>
      <c r="G39" s="3" t="s">
        <v>55</v>
      </c>
      <c r="H39" s="3"/>
      <c r="I39" s="3"/>
      <c r="J39" s="3"/>
      <c r="K39" s="3"/>
      <c r="L39" s="3"/>
      <c r="M39" s="3"/>
      <c r="N39" s="3"/>
      <c r="O39" s="3"/>
      <c r="P39" s="3"/>
      <c r="Q39" s="3"/>
    </row>
    <row r="40" spans="1:17" ht="60" customHeight="1" x14ac:dyDescent="0.25">
      <c r="A40" s="9">
        <f>IF(F40="","",ROW()-19-COUNTBLANK($F$20:F40))</f>
        <v>17</v>
      </c>
      <c r="B40" s="4" t="s">
        <v>2355</v>
      </c>
      <c r="C40" s="4" t="s">
        <v>1622</v>
      </c>
      <c r="D40" s="4"/>
      <c r="E40" s="7" t="s">
        <v>2356</v>
      </c>
      <c r="F40" s="7" t="s">
        <v>2357</v>
      </c>
      <c r="G40" s="3" t="s">
        <v>55</v>
      </c>
      <c r="H40" s="3"/>
      <c r="I40" s="3"/>
      <c r="J40" s="3"/>
      <c r="K40" s="3"/>
      <c r="L40" s="3"/>
      <c r="M40" s="3"/>
      <c r="N40" s="3"/>
      <c r="O40" s="3"/>
      <c r="P40" s="3"/>
      <c r="Q40" s="3"/>
    </row>
    <row r="41" spans="1:17" ht="60" customHeight="1" x14ac:dyDescent="0.25">
      <c r="A41" s="9">
        <f>IF(F41="","",ROW()-19-COUNTBLANK($F$20:F41))</f>
        <v>18</v>
      </c>
      <c r="B41" s="4" t="s">
        <v>2358</v>
      </c>
      <c r="C41" s="4" t="s">
        <v>1614</v>
      </c>
      <c r="D41" s="4"/>
      <c r="E41" s="7" t="s">
        <v>2359</v>
      </c>
      <c r="F41" s="7" t="s">
        <v>2360</v>
      </c>
      <c r="G41" s="3" t="s">
        <v>55</v>
      </c>
      <c r="H41" s="3"/>
      <c r="I41" s="3"/>
      <c r="J41" s="3"/>
      <c r="K41" s="3"/>
      <c r="L41" s="3"/>
      <c r="M41" s="3"/>
      <c r="N41" s="3"/>
      <c r="O41" s="3"/>
      <c r="P41" s="3"/>
      <c r="Q41" s="3"/>
    </row>
    <row r="42" spans="1:17" ht="60" customHeight="1" x14ac:dyDescent="0.25">
      <c r="A42" s="9">
        <f>IF(F42="","",ROW()-19-COUNTBLANK($F$20:F42))</f>
        <v>19</v>
      </c>
      <c r="B42" s="4" t="s">
        <v>2361</v>
      </c>
      <c r="C42" s="4" t="s">
        <v>2362</v>
      </c>
      <c r="D42" s="4"/>
      <c r="E42" s="7" t="s">
        <v>2363</v>
      </c>
      <c r="F42" s="7" t="s">
        <v>2364</v>
      </c>
      <c r="G42" s="3" t="s">
        <v>55</v>
      </c>
      <c r="H42" s="3"/>
      <c r="I42" s="3"/>
      <c r="J42" s="3"/>
      <c r="K42" s="3"/>
      <c r="L42" s="3"/>
      <c r="M42" s="3"/>
      <c r="N42" s="3"/>
      <c r="O42" s="3"/>
      <c r="P42" s="3"/>
      <c r="Q42" s="3"/>
    </row>
    <row r="43" spans="1:17" ht="60" customHeight="1" x14ac:dyDescent="0.25">
      <c r="A43" s="9">
        <f>IF(F43="","",ROW()-19-COUNTBLANK($F$20:F43))</f>
        <v>20</v>
      </c>
      <c r="B43" s="4" t="s">
        <v>2365</v>
      </c>
      <c r="C43" s="4" t="s">
        <v>2366</v>
      </c>
      <c r="D43" s="4"/>
      <c r="E43" s="7" t="s">
        <v>2367</v>
      </c>
      <c r="F43" s="7" t="s">
        <v>2368</v>
      </c>
      <c r="G43" s="3" t="s">
        <v>55</v>
      </c>
      <c r="H43" s="3"/>
      <c r="I43" s="3"/>
      <c r="J43" s="3"/>
      <c r="K43" s="3"/>
      <c r="L43" s="3"/>
      <c r="M43" s="3"/>
      <c r="N43" s="3"/>
      <c r="O43" s="3"/>
      <c r="P43" s="3"/>
      <c r="Q43" s="3"/>
    </row>
    <row r="44" spans="1:17" ht="20.100000000000001" customHeight="1" x14ac:dyDescent="0.25">
      <c r="A44" s="9" t="str">
        <f>IF(F44="","",ROW()-19-COUNTBLANK($F$20:F44))</f>
        <v/>
      </c>
      <c r="B44" s="12" t="s">
        <v>2369</v>
      </c>
      <c r="C44" s="12"/>
      <c r="D44" s="12"/>
      <c r="E44" s="12"/>
      <c r="F44" s="12"/>
      <c r="G44" s="12"/>
      <c r="H44" s="12"/>
      <c r="I44" s="12"/>
      <c r="J44" s="12"/>
      <c r="K44" s="12"/>
      <c r="L44" s="12"/>
      <c r="M44" s="12"/>
      <c r="N44" s="12"/>
      <c r="O44" s="12"/>
      <c r="P44" s="12"/>
      <c r="Q44" s="12"/>
    </row>
    <row r="45" spans="1:17" ht="60" customHeight="1" x14ac:dyDescent="0.25">
      <c r="A45" s="9">
        <f>IF(F45="","",ROW()-19-COUNTBLANK($F$20:F45))</f>
        <v>21</v>
      </c>
      <c r="B45" s="4" t="s">
        <v>2370</v>
      </c>
      <c r="C45" s="4" t="s">
        <v>2371</v>
      </c>
      <c r="D45" s="4"/>
      <c r="E45" s="7" t="s">
        <v>2372</v>
      </c>
      <c r="F45" s="7" t="s">
        <v>2373</v>
      </c>
      <c r="G45" s="3" t="s">
        <v>50</v>
      </c>
      <c r="H45" s="3"/>
      <c r="I45" s="3"/>
      <c r="J45" s="3"/>
      <c r="K45" s="3"/>
      <c r="L45" s="3"/>
      <c r="M45" s="3"/>
      <c r="N45" s="3"/>
      <c r="O45" s="3"/>
      <c r="P45" s="3"/>
      <c r="Q45" s="3"/>
    </row>
    <row r="46" spans="1:17" ht="60" customHeight="1" x14ac:dyDescent="0.25">
      <c r="A46" s="9">
        <f>IF(F46="","",ROW()-19-COUNTBLANK($F$20:F46))</f>
        <v>22</v>
      </c>
      <c r="B46" s="4" t="s">
        <v>2374</v>
      </c>
      <c r="C46" s="4" t="s">
        <v>2375</v>
      </c>
      <c r="D46" s="4"/>
      <c r="E46" s="7" t="s">
        <v>2376</v>
      </c>
      <c r="F46" s="7" t="s">
        <v>2377</v>
      </c>
      <c r="G46" s="3" t="s">
        <v>55</v>
      </c>
      <c r="H46" s="3"/>
      <c r="I46" s="3"/>
      <c r="J46" s="3"/>
      <c r="K46" s="3"/>
      <c r="L46" s="3"/>
      <c r="M46" s="3"/>
      <c r="N46" s="3"/>
      <c r="O46" s="3"/>
      <c r="P46" s="3"/>
      <c r="Q46" s="3"/>
    </row>
    <row r="47" spans="1:17" ht="60" customHeight="1" x14ac:dyDescent="0.25">
      <c r="A47" s="9">
        <f>IF(F47="","",ROW()-19-COUNTBLANK($F$20:F47))</f>
        <v>23</v>
      </c>
      <c r="B47" s="4" t="s">
        <v>2378</v>
      </c>
      <c r="C47" s="4" t="s">
        <v>2379</v>
      </c>
      <c r="D47" s="4" t="s">
        <v>2380</v>
      </c>
      <c r="E47" s="7" t="s">
        <v>2376</v>
      </c>
      <c r="F47" s="7" t="s">
        <v>2381</v>
      </c>
      <c r="G47" s="3" t="s">
        <v>55</v>
      </c>
      <c r="H47" s="3"/>
      <c r="I47" s="3"/>
      <c r="J47" s="3"/>
      <c r="K47" s="3"/>
      <c r="L47" s="3"/>
      <c r="M47" s="3"/>
      <c r="N47" s="3"/>
      <c r="O47" s="3"/>
      <c r="P47" s="3"/>
      <c r="Q47" s="3"/>
    </row>
    <row r="48" spans="1:17" ht="60" customHeight="1" x14ac:dyDescent="0.25">
      <c r="A48" s="9">
        <f>IF(F48="","",ROW()-19-COUNTBLANK($F$20:F48))</f>
        <v>24</v>
      </c>
      <c r="B48" s="4" t="s">
        <v>2382</v>
      </c>
      <c r="C48" s="4" t="s">
        <v>2383</v>
      </c>
      <c r="D48" s="4" t="s">
        <v>2384</v>
      </c>
      <c r="E48" s="7" t="s">
        <v>2385</v>
      </c>
      <c r="F48" s="7" t="s">
        <v>2386</v>
      </c>
      <c r="G48" s="3" t="s">
        <v>55</v>
      </c>
      <c r="H48" s="3"/>
      <c r="I48" s="3"/>
      <c r="J48" s="3"/>
      <c r="K48" s="3"/>
      <c r="L48" s="3"/>
      <c r="M48" s="3"/>
      <c r="N48" s="3"/>
      <c r="O48" s="3"/>
      <c r="P48" s="3"/>
      <c r="Q48" s="3"/>
    </row>
    <row r="49" spans="1:17" ht="60" customHeight="1" x14ac:dyDescent="0.25">
      <c r="A49" s="9">
        <f>IF(F49="","",ROW()-19-COUNTBLANK($F$20:F49))</f>
        <v>25</v>
      </c>
      <c r="B49" s="4" t="s">
        <v>2387</v>
      </c>
      <c r="C49" s="4" t="s">
        <v>2388</v>
      </c>
      <c r="D49" s="4"/>
      <c r="E49" s="7" t="s">
        <v>2376</v>
      </c>
      <c r="F49" s="7" t="s">
        <v>2389</v>
      </c>
      <c r="G49" s="3" t="s">
        <v>73</v>
      </c>
      <c r="H49" s="3"/>
      <c r="I49" s="3"/>
      <c r="J49" s="3"/>
      <c r="K49" s="3"/>
      <c r="L49" s="3"/>
      <c r="M49" s="3"/>
      <c r="N49" s="3"/>
      <c r="O49" s="3"/>
      <c r="P49" s="3"/>
      <c r="Q49" s="3"/>
    </row>
    <row r="50" spans="1:17" ht="20.100000000000001" customHeight="1" x14ac:dyDescent="0.25">
      <c r="A50" s="9" t="str">
        <f>IF(F50="","",ROW()-19-COUNTBLANK($F$20:F50))</f>
        <v/>
      </c>
      <c r="B50" s="12" t="s">
        <v>2390</v>
      </c>
      <c r="C50" s="12"/>
      <c r="D50" s="12"/>
      <c r="E50" s="12"/>
      <c r="F50" s="12"/>
      <c r="G50" s="12"/>
      <c r="H50" s="12"/>
      <c r="I50" s="12"/>
      <c r="J50" s="12"/>
      <c r="K50" s="12"/>
      <c r="L50" s="12"/>
      <c r="M50" s="12"/>
      <c r="N50" s="12"/>
      <c r="O50" s="12"/>
      <c r="P50" s="12"/>
      <c r="Q50" s="12"/>
    </row>
    <row r="51" spans="1:17" ht="60" customHeight="1" x14ac:dyDescent="0.25">
      <c r="A51" s="9">
        <f>IF(F51="","",ROW()-19-COUNTBLANK($F$20:F51))</f>
        <v>26</v>
      </c>
      <c r="B51" s="4" t="s">
        <v>2391</v>
      </c>
      <c r="C51" s="4" t="s">
        <v>2392</v>
      </c>
      <c r="D51" s="4" t="s">
        <v>2393</v>
      </c>
      <c r="E51" s="7" t="s">
        <v>2376</v>
      </c>
      <c r="F51" s="7" t="s">
        <v>2394</v>
      </c>
      <c r="G51" s="3" t="s">
        <v>50</v>
      </c>
      <c r="H51" s="3"/>
      <c r="I51" s="3"/>
      <c r="J51" s="3"/>
      <c r="K51" s="3"/>
      <c r="L51" s="3"/>
      <c r="M51" s="3"/>
      <c r="N51" s="3"/>
      <c r="O51" s="3"/>
      <c r="P51" s="3"/>
      <c r="Q51" s="3"/>
    </row>
    <row r="52" spans="1:17" ht="20.100000000000001" customHeight="1" x14ac:dyDescent="0.25">
      <c r="A52" s="9" t="str">
        <f>IF(F52="","",ROW()-19-COUNTBLANK($F$20:F52))</f>
        <v/>
      </c>
      <c r="B52" s="12" t="s">
        <v>2395</v>
      </c>
      <c r="C52" s="12"/>
      <c r="D52" s="12"/>
      <c r="E52" s="12"/>
      <c r="F52" s="12"/>
      <c r="G52" s="12"/>
      <c r="H52" s="12"/>
      <c r="I52" s="12"/>
      <c r="J52" s="12"/>
      <c r="K52" s="12"/>
      <c r="L52" s="12"/>
      <c r="M52" s="12"/>
      <c r="N52" s="12"/>
      <c r="O52" s="12"/>
      <c r="P52" s="12"/>
      <c r="Q52" s="12"/>
    </row>
    <row r="53" spans="1:17" ht="60" customHeight="1" x14ac:dyDescent="0.25">
      <c r="A53" s="9">
        <f>IF(F53="","",ROW()-19-COUNTBLANK($F$20:F53))</f>
        <v>27</v>
      </c>
      <c r="B53" s="4" t="s">
        <v>216</v>
      </c>
      <c r="C53" s="4" t="s">
        <v>2396</v>
      </c>
      <c r="D53" s="4"/>
      <c r="E53" s="7" t="s">
        <v>2397</v>
      </c>
      <c r="F53" s="7" t="s">
        <v>885</v>
      </c>
      <c r="G53" s="3" t="s">
        <v>55</v>
      </c>
      <c r="H53" s="3"/>
      <c r="I53" s="3"/>
      <c r="J53" s="3"/>
      <c r="K53" s="3"/>
      <c r="L53" s="3"/>
      <c r="M53" s="3"/>
      <c r="N53" s="3"/>
      <c r="O53" s="3"/>
      <c r="P53" s="3"/>
      <c r="Q53" s="3"/>
    </row>
    <row r="54" spans="1:17" ht="60" customHeight="1" x14ac:dyDescent="0.25">
      <c r="A54" s="9">
        <f>IF(F54="","",ROW()-19-COUNTBLANK($F$20:F54))</f>
        <v>28</v>
      </c>
      <c r="B54" s="4" t="s">
        <v>132</v>
      </c>
      <c r="C54" s="4" t="s">
        <v>886</v>
      </c>
      <c r="D54" s="4"/>
      <c r="E54" s="7" t="s">
        <v>2397</v>
      </c>
      <c r="F54" s="7" t="s">
        <v>2398</v>
      </c>
      <c r="G54" s="3" t="s">
        <v>55</v>
      </c>
      <c r="H54" s="3"/>
      <c r="I54" s="3"/>
      <c r="J54" s="3"/>
      <c r="K54" s="3"/>
      <c r="L54" s="3"/>
      <c r="M54" s="3"/>
      <c r="N54" s="3"/>
      <c r="O54" s="3"/>
      <c r="P54" s="3"/>
      <c r="Q54" s="3"/>
    </row>
    <row r="55" spans="1:17" ht="60" customHeight="1" x14ac:dyDescent="0.25">
      <c r="A55" s="9">
        <f>IF(F55="","",ROW()-19-COUNTBLANK($F$20:F55))</f>
        <v>29</v>
      </c>
      <c r="B55" s="4" t="s">
        <v>888</v>
      </c>
      <c r="C55" s="4" t="s">
        <v>889</v>
      </c>
      <c r="D55" s="4"/>
      <c r="E55" s="7" t="s">
        <v>2399</v>
      </c>
      <c r="F55" s="7" t="s">
        <v>2400</v>
      </c>
      <c r="G55" s="3" t="s">
        <v>50</v>
      </c>
      <c r="H55" s="3"/>
      <c r="I55" s="3"/>
      <c r="J55" s="3"/>
      <c r="K55" s="3"/>
      <c r="L55" s="3"/>
      <c r="M55" s="3"/>
      <c r="N55" s="3"/>
      <c r="O55" s="3"/>
      <c r="P55" s="3"/>
      <c r="Q55" s="3"/>
    </row>
    <row r="56" spans="1:17" ht="60" customHeight="1" x14ac:dyDescent="0.25">
      <c r="A56" s="9">
        <f>IF(F56="","",ROW()-19-COUNTBLANK($F$20:F56))</f>
        <v>30</v>
      </c>
      <c r="B56" s="4" t="s">
        <v>892</v>
      </c>
      <c r="C56" s="4" t="s">
        <v>893</v>
      </c>
      <c r="D56" s="4"/>
      <c r="E56" s="7" t="s">
        <v>2401</v>
      </c>
      <c r="F56" s="7" t="s">
        <v>2402</v>
      </c>
      <c r="G56" s="3" t="s">
        <v>50</v>
      </c>
      <c r="H56" s="3"/>
      <c r="I56" s="3"/>
      <c r="J56" s="3"/>
      <c r="K56" s="3"/>
      <c r="L56" s="3"/>
      <c r="M56" s="3"/>
      <c r="N56" s="3"/>
      <c r="O56" s="3"/>
      <c r="P56" s="3"/>
      <c r="Q56" s="3"/>
    </row>
    <row r="57" spans="1:17" ht="60" customHeight="1" x14ac:dyDescent="0.25">
      <c r="A57" s="9">
        <f>IF(F57="","",ROW()-19-COUNTBLANK($F$20:F57))</f>
        <v>31</v>
      </c>
      <c r="B57" s="4" t="s">
        <v>896</v>
      </c>
      <c r="C57" s="4" t="s">
        <v>897</v>
      </c>
      <c r="D57" s="4"/>
      <c r="E57" s="7" t="s">
        <v>2403</v>
      </c>
      <c r="F57" s="7" t="s">
        <v>899</v>
      </c>
      <c r="G57" s="3" t="s">
        <v>73</v>
      </c>
      <c r="H57" s="3"/>
      <c r="I57" s="3"/>
      <c r="J57" s="3"/>
      <c r="K57" s="3"/>
      <c r="L57" s="3"/>
      <c r="M57" s="3"/>
      <c r="N57" s="3"/>
      <c r="O57" s="3"/>
      <c r="P57" s="3"/>
      <c r="Q57" s="3"/>
    </row>
    <row r="58" spans="1:17" ht="60" customHeight="1" x14ac:dyDescent="0.25">
      <c r="A58" s="9">
        <f>IF(F58="","",ROW()-19-COUNTBLANK($F$20:F58))</f>
        <v>32</v>
      </c>
      <c r="B58" s="4" t="s">
        <v>2404</v>
      </c>
      <c r="C58" s="4" t="s">
        <v>2405</v>
      </c>
      <c r="D58" s="4" t="s">
        <v>2406</v>
      </c>
      <c r="E58" s="7" t="s">
        <v>2407</v>
      </c>
      <c r="F58" s="7" t="s">
        <v>2408</v>
      </c>
      <c r="G58" s="3" t="s">
        <v>55</v>
      </c>
      <c r="H58" s="3"/>
      <c r="I58" s="3"/>
      <c r="J58" s="3"/>
      <c r="K58" s="3"/>
      <c r="L58" s="3"/>
      <c r="M58" s="3"/>
      <c r="N58" s="3"/>
      <c r="O58" s="3"/>
      <c r="P58" s="3"/>
      <c r="Q58" s="3"/>
    </row>
    <row r="59" spans="1:17" ht="20.100000000000001" customHeight="1" x14ac:dyDescent="0.25">
      <c r="A59" s="9" t="str">
        <f>IF(F59="","",ROW()-19-COUNTBLANK($F$20:F59))</f>
        <v/>
      </c>
      <c r="B59" s="12" t="s">
        <v>2409</v>
      </c>
      <c r="C59" s="12"/>
      <c r="D59" s="12"/>
      <c r="E59" s="12"/>
      <c r="F59" s="12"/>
      <c r="G59" s="12"/>
      <c r="H59" s="12"/>
      <c r="I59" s="12"/>
      <c r="J59" s="12"/>
      <c r="K59" s="12"/>
      <c r="L59" s="12"/>
      <c r="M59" s="12"/>
      <c r="N59" s="12"/>
      <c r="O59" s="12"/>
      <c r="P59" s="12"/>
      <c r="Q59" s="12"/>
    </row>
    <row r="60" spans="1:17" ht="60" customHeight="1" x14ac:dyDescent="0.25">
      <c r="A60" s="9">
        <f>IF(F60="","",ROW()-19-COUNTBLANK($F$20:F60))</f>
        <v>33</v>
      </c>
      <c r="B60" s="4" t="s">
        <v>216</v>
      </c>
      <c r="C60" s="4" t="s">
        <v>2410</v>
      </c>
      <c r="D60" s="4"/>
      <c r="E60" s="7" t="s">
        <v>2411</v>
      </c>
      <c r="F60" s="7" t="s">
        <v>461</v>
      </c>
      <c r="G60" s="3" t="s">
        <v>55</v>
      </c>
      <c r="H60" s="3"/>
      <c r="I60" s="3"/>
      <c r="J60" s="3"/>
      <c r="K60" s="3"/>
      <c r="L60" s="3"/>
      <c r="M60" s="3"/>
      <c r="N60" s="3"/>
      <c r="O60" s="3"/>
      <c r="P60" s="3"/>
      <c r="Q60" s="3"/>
    </row>
    <row r="61" spans="1:17" ht="60" customHeight="1" x14ac:dyDescent="0.25">
      <c r="A61" s="9">
        <f>IF(F61="","",ROW()-19-COUNTBLANK($F$20:F61))</f>
        <v>34</v>
      </c>
      <c r="B61" s="4" t="s">
        <v>132</v>
      </c>
      <c r="C61" s="4" t="s">
        <v>462</v>
      </c>
      <c r="D61" s="4"/>
      <c r="E61" s="7" t="s">
        <v>2412</v>
      </c>
      <c r="F61" s="7" t="s">
        <v>2413</v>
      </c>
      <c r="G61" s="3" t="s">
        <v>50</v>
      </c>
      <c r="H61" s="3"/>
      <c r="I61" s="3"/>
      <c r="J61" s="3"/>
      <c r="K61" s="3"/>
      <c r="L61" s="3"/>
      <c r="M61" s="3"/>
      <c r="N61" s="3"/>
      <c r="O61" s="3"/>
      <c r="P61" s="3"/>
      <c r="Q61" s="3"/>
    </row>
    <row r="62" spans="1:17" ht="60" customHeight="1" x14ac:dyDescent="0.25">
      <c r="A62" s="9">
        <f>IF(F62="","",ROW()-19-COUNTBLANK($F$20:F62))</f>
        <v>35</v>
      </c>
      <c r="B62" s="4" t="s">
        <v>465</v>
      </c>
      <c r="C62" s="4" t="s">
        <v>466</v>
      </c>
      <c r="D62" s="4"/>
      <c r="E62" s="7" t="s">
        <v>2414</v>
      </c>
      <c r="F62" s="7" t="s">
        <v>2415</v>
      </c>
      <c r="G62" s="3" t="s">
        <v>73</v>
      </c>
      <c r="H62" s="3"/>
      <c r="I62" s="3"/>
      <c r="J62" s="3"/>
      <c r="K62" s="3"/>
      <c r="L62" s="3"/>
      <c r="M62" s="3"/>
      <c r="N62" s="3"/>
      <c r="O62" s="3"/>
      <c r="P62" s="3"/>
      <c r="Q62" s="3"/>
    </row>
    <row r="63" spans="1:17" ht="60" customHeight="1" x14ac:dyDescent="0.25">
      <c r="A63" s="9">
        <f>IF(F63="","",ROW()-19-COUNTBLANK($F$20:F63))</f>
        <v>36</v>
      </c>
      <c r="B63" s="4" t="s">
        <v>469</v>
      </c>
      <c r="C63" s="4" t="s">
        <v>470</v>
      </c>
      <c r="D63" s="4"/>
      <c r="E63" s="7" t="s">
        <v>2416</v>
      </c>
      <c r="F63" s="7" t="s">
        <v>2417</v>
      </c>
      <c r="G63" s="3" t="s">
        <v>50</v>
      </c>
      <c r="H63" s="3"/>
      <c r="I63" s="3"/>
      <c r="J63" s="3"/>
      <c r="K63" s="3"/>
      <c r="L63" s="3"/>
      <c r="M63" s="3"/>
      <c r="N63" s="3"/>
      <c r="O63" s="3"/>
      <c r="P63" s="3"/>
      <c r="Q63" s="3"/>
    </row>
    <row r="64" spans="1:17" ht="60" customHeight="1" x14ac:dyDescent="0.25">
      <c r="A64" s="9">
        <f>IF(F64="","",ROW()-19-COUNTBLANK($F$20:F64))</f>
        <v>37</v>
      </c>
      <c r="B64" s="4" t="s">
        <v>473</v>
      </c>
      <c r="C64" s="4" t="s">
        <v>474</v>
      </c>
      <c r="D64" s="4"/>
      <c r="E64" s="7" t="s">
        <v>2418</v>
      </c>
      <c r="F64" s="7" t="s">
        <v>2419</v>
      </c>
      <c r="G64" s="3" t="s">
        <v>50</v>
      </c>
      <c r="H64" s="3"/>
      <c r="I64" s="3"/>
      <c r="J64" s="3"/>
      <c r="K64" s="3"/>
      <c r="L64" s="3"/>
      <c r="M64" s="3"/>
      <c r="N64" s="3"/>
      <c r="O64" s="3"/>
      <c r="P64" s="3"/>
      <c r="Q64" s="3"/>
    </row>
    <row r="65" spans="1:17" ht="60" customHeight="1" x14ac:dyDescent="0.25">
      <c r="A65" s="9">
        <f>IF(F65="","",ROW()-19-COUNTBLANK($F$20:F65))</f>
        <v>38</v>
      </c>
      <c r="B65" s="4" t="s">
        <v>477</v>
      </c>
      <c r="C65" s="4" t="s">
        <v>478</v>
      </c>
      <c r="D65" s="4"/>
      <c r="E65" s="7" t="s">
        <v>2420</v>
      </c>
      <c r="F65" s="7" t="s">
        <v>480</v>
      </c>
      <c r="G65" s="3" t="s">
        <v>55</v>
      </c>
      <c r="H65" s="3"/>
      <c r="I65" s="3"/>
      <c r="J65" s="3"/>
      <c r="K65" s="3"/>
      <c r="L65" s="3"/>
      <c r="M65" s="3"/>
      <c r="N65" s="3"/>
      <c r="O65" s="3"/>
      <c r="P65" s="3"/>
      <c r="Q65" s="3"/>
    </row>
    <row r="66" spans="1:17" ht="60" customHeight="1" x14ac:dyDescent="0.25">
      <c r="A66" s="9">
        <f>IF(F66="","",ROW()-19-COUNTBLANK($F$20:F66))</f>
        <v>39</v>
      </c>
      <c r="B66" s="17" t="s">
        <v>481</v>
      </c>
      <c r="C66" s="4" t="s">
        <v>482</v>
      </c>
      <c r="D66" s="4" t="s">
        <v>579</v>
      </c>
      <c r="E66" s="7" t="s">
        <v>2421</v>
      </c>
      <c r="F66" s="7" t="s">
        <v>485</v>
      </c>
      <c r="G66" s="3" t="s">
        <v>73</v>
      </c>
      <c r="H66" s="3"/>
      <c r="I66" s="3"/>
      <c r="J66" s="3"/>
      <c r="K66" s="3"/>
      <c r="L66" s="3"/>
      <c r="M66" s="3"/>
      <c r="N66" s="3"/>
      <c r="O66" s="3"/>
      <c r="P66" s="3"/>
      <c r="Q66" s="3"/>
    </row>
    <row r="67" spans="1:17" ht="60" customHeight="1" x14ac:dyDescent="0.25">
      <c r="A67" s="9">
        <f>IF(F67="","",ROW()-19-COUNTBLANK($F$20:F67))</f>
        <v>40</v>
      </c>
      <c r="B67" s="18"/>
      <c r="C67" s="4" t="s">
        <v>486</v>
      </c>
      <c r="D67" s="4" t="s">
        <v>581</v>
      </c>
      <c r="E67" s="7" t="s">
        <v>2421</v>
      </c>
      <c r="F67" s="7" t="s">
        <v>485</v>
      </c>
      <c r="G67" s="3" t="s">
        <v>73</v>
      </c>
      <c r="H67" s="3"/>
      <c r="I67" s="3"/>
      <c r="J67" s="3"/>
      <c r="K67" s="3"/>
      <c r="L67" s="3"/>
      <c r="M67" s="3"/>
      <c r="N67" s="3"/>
      <c r="O67" s="3"/>
      <c r="P67" s="3"/>
      <c r="Q67" s="3"/>
    </row>
    <row r="68" spans="1:17" ht="60" customHeight="1" x14ac:dyDescent="0.25">
      <c r="A68" s="9">
        <f>IF(F68="","",ROW()-19-COUNTBLANK($F$20:F68))</f>
        <v>41</v>
      </c>
      <c r="B68" s="19"/>
      <c r="C68" s="4" t="s">
        <v>488</v>
      </c>
      <c r="D68" s="4" t="s">
        <v>582</v>
      </c>
      <c r="E68" s="7" t="s">
        <v>2422</v>
      </c>
      <c r="F68" s="7" t="s">
        <v>491</v>
      </c>
      <c r="G68" s="3" t="s">
        <v>73</v>
      </c>
      <c r="H68" s="3"/>
      <c r="I68" s="3"/>
      <c r="J68" s="3"/>
      <c r="K68" s="3"/>
      <c r="L68" s="3"/>
      <c r="M68" s="3"/>
      <c r="N68" s="3"/>
      <c r="O68" s="3"/>
      <c r="P68" s="3"/>
      <c r="Q68" s="3"/>
    </row>
    <row r="69" spans="1:17" ht="60" customHeight="1" x14ac:dyDescent="0.25">
      <c r="A69" s="9">
        <f>IF(F69="","",ROW()-19-COUNTBLANK($F$20:F69))</f>
        <v>42</v>
      </c>
      <c r="B69" s="17" t="s">
        <v>492</v>
      </c>
      <c r="C69" s="4" t="s">
        <v>493</v>
      </c>
      <c r="D69" s="4" t="s">
        <v>494</v>
      </c>
      <c r="E69" s="7" t="s">
        <v>2423</v>
      </c>
      <c r="F69" s="7" t="s">
        <v>496</v>
      </c>
      <c r="G69" s="3" t="s">
        <v>50</v>
      </c>
      <c r="H69" s="3"/>
      <c r="I69" s="3"/>
      <c r="J69" s="3"/>
      <c r="K69" s="3"/>
      <c r="L69" s="3"/>
      <c r="M69" s="3"/>
      <c r="N69" s="3"/>
      <c r="O69" s="3"/>
      <c r="P69" s="3"/>
      <c r="Q69" s="3"/>
    </row>
    <row r="70" spans="1:17" ht="60" customHeight="1" x14ac:dyDescent="0.25">
      <c r="A70" s="9">
        <f>IF(F70="","",ROW()-19-COUNTBLANK($F$20:F70))</f>
        <v>43</v>
      </c>
      <c r="B70" s="18"/>
      <c r="C70" s="4" t="s">
        <v>497</v>
      </c>
      <c r="D70" s="4" t="s">
        <v>498</v>
      </c>
      <c r="E70" s="7" t="s">
        <v>2424</v>
      </c>
      <c r="F70" s="7" t="s">
        <v>500</v>
      </c>
      <c r="G70" s="3" t="s">
        <v>55</v>
      </c>
      <c r="H70" s="3"/>
      <c r="I70" s="3"/>
      <c r="J70" s="3"/>
      <c r="K70" s="3"/>
      <c r="L70" s="3"/>
      <c r="M70" s="3"/>
      <c r="N70" s="3"/>
      <c r="O70" s="3"/>
      <c r="P70" s="3"/>
      <c r="Q70" s="3"/>
    </row>
    <row r="71" spans="1:17" ht="60" customHeight="1" x14ac:dyDescent="0.25">
      <c r="A71" s="9">
        <f>IF(F71="","",ROW()-19-COUNTBLANK($F$20:F71))</f>
        <v>44</v>
      </c>
      <c r="B71" s="19"/>
      <c r="C71" s="4" t="s">
        <v>501</v>
      </c>
      <c r="D71" s="4" t="s">
        <v>502</v>
      </c>
      <c r="E71" s="7" t="s">
        <v>2425</v>
      </c>
      <c r="F71" s="7" t="s">
        <v>504</v>
      </c>
      <c r="G71" s="3" t="s">
        <v>55</v>
      </c>
      <c r="H71" s="3"/>
      <c r="I71" s="3"/>
      <c r="J71" s="3"/>
      <c r="K71" s="3"/>
      <c r="L71" s="3"/>
      <c r="M71" s="3"/>
      <c r="N71" s="3"/>
      <c r="O71" s="3"/>
      <c r="P71" s="3"/>
      <c r="Q71" s="3"/>
    </row>
    <row r="72" spans="1:17" ht="60" customHeight="1" x14ac:dyDescent="0.25">
      <c r="A72" s="9">
        <f>IF(F72="","",ROW()-19-COUNTBLANK($F$20:F72))</f>
        <v>45</v>
      </c>
      <c r="B72" s="17" t="s">
        <v>473</v>
      </c>
      <c r="C72" s="17" t="s">
        <v>505</v>
      </c>
      <c r="D72" s="4" t="s">
        <v>506</v>
      </c>
      <c r="E72" s="7" t="s">
        <v>507</v>
      </c>
      <c r="F72" s="7" t="s">
        <v>508</v>
      </c>
      <c r="G72" s="3" t="s">
        <v>55</v>
      </c>
      <c r="H72" s="3"/>
      <c r="I72" s="3"/>
      <c r="J72" s="3"/>
      <c r="K72" s="3"/>
      <c r="L72" s="3"/>
      <c r="M72" s="3"/>
      <c r="N72" s="3"/>
      <c r="O72" s="3"/>
      <c r="P72" s="3"/>
      <c r="Q72" s="3"/>
    </row>
    <row r="73" spans="1:17" ht="60" customHeight="1" x14ac:dyDescent="0.25">
      <c r="A73" s="9">
        <f>IF(F73="","",ROW()-19-COUNTBLANK($F$20:F73))</f>
        <v>46</v>
      </c>
      <c r="B73" s="18"/>
      <c r="C73" s="19"/>
      <c r="D73" s="4" t="s">
        <v>509</v>
      </c>
      <c r="E73" s="7" t="s">
        <v>510</v>
      </c>
      <c r="F73" s="7" t="s">
        <v>511</v>
      </c>
      <c r="G73" s="3" t="s">
        <v>55</v>
      </c>
      <c r="H73" s="3"/>
      <c r="I73" s="3"/>
      <c r="J73" s="3"/>
      <c r="K73" s="3"/>
      <c r="L73" s="3"/>
      <c r="M73" s="3"/>
      <c r="N73" s="3"/>
      <c r="O73" s="3"/>
      <c r="P73" s="3"/>
      <c r="Q73" s="3"/>
    </row>
    <row r="74" spans="1:17" ht="60" customHeight="1" x14ac:dyDescent="0.25">
      <c r="A74" s="9">
        <f>IF(F74="","",ROW()-19-COUNTBLANK($F$20:F74))</f>
        <v>47</v>
      </c>
      <c r="B74" s="18"/>
      <c r="C74" s="4" t="s">
        <v>512</v>
      </c>
      <c r="D74" s="4" t="s">
        <v>513</v>
      </c>
      <c r="E74" s="7" t="s">
        <v>514</v>
      </c>
      <c r="F74" s="7" t="s">
        <v>515</v>
      </c>
      <c r="G74" s="3" t="s">
        <v>55</v>
      </c>
      <c r="H74" s="3"/>
      <c r="I74" s="3"/>
      <c r="J74" s="3"/>
      <c r="K74" s="3"/>
      <c r="L74" s="3"/>
      <c r="M74" s="3"/>
      <c r="N74" s="3"/>
      <c r="O74" s="3"/>
      <c r="P74" s="3"/>
      <c r="Q74" s="3"/>
    </row>
    <row r="75" spans="1:17" ht="60" customHeight="1" x14ac:dyDescent="0.25">
      <c r="A75" s="9">
        <f>IF(F75="","",ROW()-19-COUNTBLANK($F$20:F75))</f>
        <v>48</v>
      </c>
      <c r="B75" s="19"/>
      <c r="C75" s="4" t="s">
        <v>516</v>
      </c>
      <c r="D75" s="4" t="s">
        <v>517</v>
      </c>
      <c r="E75" s="7" t="s">
        <v>518</v>
      </c>
      <c r="F75" s="7" t="s">
        <v>519</v>
      </c>
      <c r="G75" s="3" t="s">
        <v>55</v>
      </c>
      <c r="H75" s="3"/>
      <c r="I75" s="3"/>
      <c r="J75" s="3"/>
      <c r="K75" s="3"/>
      <c r="L75" s="3"/>
      <c r="M75" s="3"/>
      <c r="N75" s="3"/>
      <c r="O75" s="3"/>
      <c r="P75" s="3"/>
      <c r="Q75" s="3"/>
    </row>
    <row r="76" spans="1:17" ht="60" customHeight="1" x14ac:dyDescent="0.25">
      <c r="A76" s="9">
        <f>IF(F76="","",ROW()-19-COUNTBLANK($F$20:F76))</f>
        <v>49</v>
      </c>
      <c r="B76" s="4" t="s">
        <v>520</v>
      </c>
      <c r="C76" s="4" t="s">
        <v>521</v>
      </c>
      <c r="D76" s="4"/>
      <c r="E76" s="7" t="s">
        <v>2426</v>
      </c>
      <c r="F76" s="7" t="s">
        <v>523</v>
      </c>
      <c r="G76" s="3" t="s">
        <v>55</v>
      </c>
      <c r="H76" s="3"/>
      <c r="I76" s="3"/>
      <c r="J76" s="3"/>
      <c r="K76" s="3"/>
      <c r="L76" s="3"/>
      <c r="M76" s="3"/>
      <c r="N76" s="3"/>
      <c r="O76" s="3"/>
      <c r="P76" s="3"/>
      <c r="Q76" s="3"/>
    </row>
    <row r="77" spans="1:17" ht="20.100000000000001" customHeight="1" x14ac:dyDescent="0.25">
      <c r="A77" s="9" t="str">
        <f>IF(F77="","",ROW()-19-COUNTBLANK($F$20:F77))</f>
        <v/>
      </c>
      <c r="B77" s="12" t="s">
        <v>2427</v>
      </c>
      <c r="C77" s="12"/>
      <c r="D77" s="12"/>
      <c r="E77" s="12"/>
      <c r="F77" s="12"/>
      <c r="G77" s="12"/>
      <c r="H77" s="12"/>
      <c r="I77" s="12"/>
      <c r="J77" s="12"/>
      <c r="K77" s="12"/>
      <c r="L77" s="12"/>
      <c r="M77" s="12"/>
      <c r="N77" s="12"/>
      <c r="O77" s="12"/>
      <c r="P77" s="12"/>
      <c r="Q77" s="12"/>
    </row>
    <row r="78" spans="1:17" ht="60" customHeight="1" x14ac:dyDescent="0.25">
      <c r="A78" s="9">
        <f>IF(F78="","",ROW()-19-COUNTBLANK($F$20:F78))</f>
        <v>50</v>
      </c>
      <c r="B78" s="4" t="s">
        <v>216</v>
      </c>
      <c r="C78" s="4" t="s">
        <v>2428</v>
      </c>
      <c r="D78" s="4"/>
      <c r="E78" s="7" t="s">
        <v>2429</v>
      </c>
      <c r="F78" s="7" t="s">
        <v>2430</v>
      </c>
      <c r="G78" s="3" t="s">
        <v>55</v>
      </c>
      <c r="H78" s="3"/>
      <c r="I78" s="3"/>
      <c r="J78" s="3"/>
      <c r="K78" s="3"/>
      <c r="L78" s="3"/>
      <c r="M78" s="3"/>
      <c r="N78" s="3"/>
      <c r="O78" s="3"/>
      <c r="P78" s="3"/>
      <c r="Q78" s="3"/>
    </row>
    <row r="79" spans="1:17" ht="60" customHeight="1" x14ac:dyDescent="0.25">
      <c r="A79" s="9">
        <f>IF(F79="","",ROW()-19-COUNTBLANK($F$20:F79))</f>
        <v>51</v>
      </c>
      <c r="B79" s="4" t="s">
        <v>1064</v>
      </c>
      <c r="C79" s="4" t="s">
        <v>2431</v>
      </c>
      <c r="D79" s="4"/>
      <c r="E79" s="7" t="s">
        <v>2432</v>
      </c>
      <c r="F79" s="7" t="s">
        <v>1067</v>
      </c>
      <c r="G79" s="3" t="s">
        <v>55</v>
      </c>
      <c r="H79" s="3"/>
      <c r="I79" s="3"/>
      <c r="J79" s="3"/>
      <c r="K79" s="3"/>
      <c r="L79" s="3"/>
      <c r="M79" s="3"/>
      <c r="N79" s="3"/>
      <c r="O79" s="3"/>
      <c r="P79" s="3"/>
      <c r="Q79" s="3"/>
    </row>
    <row r="80" spans="1:17" ht="60" customHeight="1" x14ac:dyDescent="0.25">
      <c r="A80" s="9">
        <f>IF(F80="","",ROW()-19-COUNTBLANK($F$20:F80))</f>
        <v>52</v>
      </c>
      <c r="B80" s="4" t="s">
        <v>1068</v>
      </c>
      <c r="C80" s="4" t="s">
        <v>2433</v>
      </c>
      <c r="D80" s="4"/>
      <c r="E80" s="7" t="s">
        <v>2434</v>
      </c>
      <c r="F80" s="7" t="s">
        <v>2435</v>
      </c>
      <c r="G80" s="3" t="s">
        <v>73</v>
      </c>
      <c r="H80" s="3"/>
      <c r="I80" s="3"/>
      <c r="J80" s="3"/>
      <c r="K80" s="3"/>
      <c r="L80" s="3"/>
      <c r="M80" s="3"/>
      <c r="N80" s="3"/>
      <c r="O80" s="3"/>
      <c r="P80" s="3"/>
      <c r="Q80" s="3"/>
    </row>
    <row r="81" spans="1:17" ht="60" customHeight="1" x14ac:dyDescent="0.25">
      <c r="A81" s="9">
        <f>IF(F81="","",ROW()-19-COUNTBLANK($F$20:F81))</f>
        <v>53</v>
      </c>
      <c r="B81" s="4" t="s">
        <v>1072</v>
      </c>
      <c r="C81" s="4" t="s">
        <v>2436</v>
      </c>
      <c r="D81" s="4"/>
      <c r="E81" s="7" t="s">
        <v>2429</v>
      </c>
      <c r="F81" s="7" t="s">
        <v>1095</v>
      </c>
      <c r="G81" s="3" t="s">
        <v>73</v>
      </c>
      <c r="H81" s="3"/>
      <c r="I81" s="3"/>
      <c r="J81" s="3"/>
      <c r="K81" s="3"/>
      <c r="L81" s="3"/>
      <c r="M81" s="3"/>
      <c r="N81" s="3"/>
      <c r="O81" s="3"/>
      <c r="P81" s="3"/>
      <c r="Q81" s="3"/>
    </row>
    <row r="82" spans="1:17" ht="20.100000000000001" customHeight="1" x14ac:dyDescent="0.25">
      <c r="A82" s="9" t="str">
        <f>IF(F82="","",ROW()-19-COUNTBLANK($F$20:F82))</f>
        <v/>
      </c>
      <c r="B82" s="12" t="s">
        <v>2437</v>
      </c>
      <c r="C82" s="12"/>
      <c r="D82" s="12"/>
      <c r="E82" s="12"/>
      <c r="F82" s="12"/>
      <c r="G82" s="12"/>
      <c r="H82" s="12"/>
      <c r="I82" s="12"/>
      <c r="J82" s="12"/>
      <c r="K82" s="12"/>
      <c r="L82" s="12"/>
      <c r="M82" s="12"/>
      <c r="N82" s="12"/>
      <c r="O82" s="12"/>
      <c r="P82" s="12"/>
      <c r="Q82" s="12"/>
    </row>
    <row r="83" spans="1:17" ht="60" customHeight="1" x14ac:dyDescent="0.25">
      <c r="A83" s="9">
        <f>IF(F83="","",ROW()-19-COUNTBLANK($F$20:F83))</f>
        <v>54</v>
      </c>
      <c r="B83" s="4" t="s">
        <v>216</v>
      </c>
      <c r="C83" s="4" t="s">
        <v>2438</v>
      </c>
      <c r="D83" s="4"/>
      <c r="E83" s="7" t="s">
        <v>2439</v>
      </c>
      <c r="F83" s="7" t="s">
        <v>2440</v>
      </c>
      <c r="G83" s="3" t="s">
        <v>55</v>
      </c>
      <c r="H83" s="3"/>
      <c r="I83" s="3"/>
      <c r="J83" s="3"/>
      <c r="K83" s="3"/>
      <c r="L83" s="3"/>
      <c r="M83" s="3"/>
      <c r="N83" s="3"/>
      <c r="O83" s="3"/>
      <c r="P83" s="3"/>
      <c r="Q83" s="3"/>
    </row>
    <row r="84" spans="1:17" ht="60" customHeight="1" x14ac:dyDescent="0.25">
      <c r="A84" s="9">
        <f>IF(F84="","",ROW()-19-COUNTBLANK($F$20:F84))</f>
        <v>55</v>
      </c>
      <c r="B84" s="4" t="s">
        <v>1064</v>
      </c>
      <c r="C84" s="4" t="s">
        <v>2441</v>
      </c>
      <c r="D84" s="4"/>
      <c r="E84" s="7" t="s">
        <v>2442</v>
      </c>
      <c r="F84" s="7" t="s">
        <v>1067</v>
      </c>
      <c r="G84" s="3" t="s">
        <v>55</v>
      </c>
      <c r="H84" s="3"/>
      <c r="I84" s="3"/>
      <c r="J84" s="3"/>
      <c r="K84" s="3"/>
      <c r="L84" s="3"/>
      <c r="M84" s="3"/>
      <c r="N84" s="3"/>
      <c r="O84" s="3"/>
      <c r="P84" s="3"/>
      <c r="Q84" s="3"/>
    </row>
    <row r="85" spans="1:17" ht="60" customHeight="1" x14ac:dyDescent="0.25">
      <c r="A85" s="9">
        <f>IF(F85="","",ROW()-19-COUNTBLANK($F$20:F85))</f>
        <v>56</v>
      </c>
      <c r="B85" s="4" t="s">
        <v>1068</v>
      </c>
      <c r="C85" s="4" t="s">
        <v>2443</v>
      </c>
      <c r="D85" s="4"/>
      <c r="E85" s="7" t="s">
        <v>2444</v>
      </c>
      <c r="F85" s="7" t="s">
        <v>2445</v>
      </c>
      <c r="G85" s="3" t="s">
        <v>73</v>
      </c>
      <c r="H85" s="3"/>
      <c r="I85" s="3"/>
      <c r="J85" s="3"/>
      <c r="K85" s="3"/>
      <c r="L85" s="3"/>
      <c r="M85" s="3"/>
      <c r="N85" s="3"/>
      <c r="O85" s="3"/>
      <c r="P85" s="3"/>
      <c r="Q85" s="3"/>
    </row>
    <row r="86" spans="1:17" ht="60" customHeight="1" x14ac:dyDescent="0.25">
      <c r="A86" s="9">
        <f>IF(F86="","",ROW()-19-COUNTBLANK($F$20:F86))</f>
        <v>57</v>
      </c>
      <c r="B86" s="4" t="s">
        <v>1072</v>
      </c>
      <c r="C86" s="4" t="s">
        <v>2446</v>
      </c>
      <c r="D86" s="4"/>
      <c r="E86" s="7" t="s">
        <v>2439</v>
      </c>
      <c r="F86" s="7" t="s">
        <v>1095</v>
      </c>
      <c r="G86" s="3" t="s">
        <v>73</v>
      </c>
      <c r="H86" s="3"/>
      <c r="I86" s="3"/>
      <c r="J86" s="3"/>
      <c r="K86" s="3"/>
      <c r="L86" s="3"/>
      <c r="M86" s="3"/>
      <c r="N86" s="3"/>
      <c r="O86" s="3"/>
      <c r="P86" s="3"/>
      <c r="Q86" s="3"/>
    </row>
    <row r="87" spans="1:17" ht="20.100000000000001" customHeight="1" x14ac:dyDescent="0.25">
      <c r="A87" s="9" t="str">
        <f>IF(F87="","",ROW()-19-COUNTBLANK($F$20:F87))</f>
        <v/>
      </c>
      <c r="B87" s="12" t="s">
        <v>2447</v>
      </c>
      <c r="C87" s="12"/>
      <c r="D87" s="12"/>
      <c r="E87" s="12"/>
      <c r="F87" s="12"/>
      <c r="G87" s="12"/>
      <c r="H87" s="12"/>
      <c r="I87" s="12"/>
      <c r="J87" s="12"/>
      <c r="K87" s="12"/>
      <c r="L87" s="12"/>
      <c r="M87" s="12"/>
      <c r="N87" s="12"/>
      <c r="O87" s="12"/>
      <c r="P87" s="12"/>
      <c r="Q87" s="12"/>
    </row>
    <row r="88" spans="1:17" ht="60" customHeight="1" x14ac:dyDescent="0.25">
      <c r="A88" s="9">
        <f>IF(F88="","",ROW()-19-COUNTBLANK($F$20:F88))</f>
        <v>58</v>
      </c>
      <c r="B88" s="4" t="s">
        <v>216</v>
      </c>
      <c r="C88" s="4" t="s">
        <v>2448</v>
      </c>
      <c r="D88" s="4"/>
      <c r="E88" s="7" t="s">
        <v>2449</v>
      </c>
      <c r="F88" s="7" t="s">
        <v>2450</v>
      </c>
      <c r="G88" s="3" t="s">
        <v>55</v>
      </c>
      <c r="H88" s="3"/>
      <c r="I88" s="3"/>
      <c r="J88" s="3"/>
      <c r="K88" s="3"/>
      <c r="L88" s="3"/>
      <c r="M88" s="3"/>
      <c r="N88" s="3"/>
      <c r="O88" s="3"/>
      <c r="P88" s="3"/>
      <c r="Q88" s="3"/>
    </row>
    <row r="89" spans="1:17" ht="60" customHeight="1" x14ac:dyDescent="0.25">
      <c r="A89" s="9">
        <f>IF(F89="","",ROW()-19-COUNTBLANK($F$20:F89))</f>
        <v>59</v>
      </c>
      <c r="B89" s="4" t="s">
        <v>1064</v>
      </c>
      <c r="C89" s="4" t="s">
        <v>2451</v>
      </c>
      <c r="D89" s="4"/>
      <c r="E89" s="7" t="s">
        <v>2452</v>
      </c>
      <c r="F89" s="7" t="s">
        <v>1067</v>
      </c>
      <c r="G89" s="3" t="s">
        <v>55</v>
      </c>
      <c r="H89" s="3"/>
      <c r="I89" s="3"/>
      <c r="J89" s="3"/>
      <c r="K89" s="3"/>
      <c r="L89" s="3"/>
      <c r="M89" s="3"/>
      <c r="N89" s="3"/>
      <c r="O89" s="3"/>
      <c r="P89" s="3"/>
      <c r="Q89" s="3"/>
    </row>
    <row r="90" spans="1:17" ht="60" customHeight="1" x14ac:dyDescent="0.25">
      <c r="A90" s="9">
        <f>IF(F90="","",ROW()-19-COUNTBLANK($F$20:F90))</f>
        <v>60</v>
      </c>
      <c r="B90" s="4" t="s">
        <v>1068</v>
      </c>
      <c r="C90" s="4" t="s">
        <v>2453</v>
      </c>
      <c r="D90" s="4"/>
      <c r="E90" s="7" t="s">
        <v>2454</v>
      </c>
      <c r="F90" s="7" t="s">
        <v>2455</v>
      </c>
      <c r="G90" s="3" t="s">
        <v>73</v>
      </c>
      <c r="H90" s="3"/>
      <c r="I90" s="3"/>
      <c r="J90" s="3"/>
      <c r="K90" s="3"/>
      <c r="L90" s="3"/>
      <c r="M90" s="3"/>
      <c r="N90" s="3"/>
      <c r="O90" s="3"/>
      <c r="P90" s="3"/>
      <c r="Q90" s="3"/>
    </row>
    <row r="91" spans="1:17" ht="60" customHeight="1" x14ac:dyDescent="0.25">
      <c r="A91" s="9">
        <f>IF(F91="","",ROW()-19-COUNTBLANK($F$20:F91))</f>
        <v>61</v>
      </c>
      <c r="B91" s="4" t="s">
        <v>1072</v>
      </c>
      <c r="C91" s="4" t="s">
        <v>2456</v>
      </c>
      <c r="D91" s="4"/>
      <c r="E91" s="7" t="s">
        <v>2449</v>
      </c>
      <c r="F91" s="7" t="s">
        <v>1095</v>
      </c>
      <c r="G91" s="3" t="s">
        <v>73</v>
      </c>
      <c r="H91" s="3"/>
      <c r="I91" s="3"/>
      <c r="J91" s="3"/>
      <c r="K91" s="3"/>
      <c r="L91" s="3"/>
      <c r="M91" s="3"/>
      <c r="N91" s="3"/>
      <c r="O91" s="3"/>
      <c r="P91" s="3"/>
      <c r="Q91" s="3"/>
    </row>
    <row r="92" spans="1:17" ht="20.100000000000001" customHeight="1" x14ac:dyDescent="0.25">
      <c r="A92" s="9" t="str">
        <f>IF(F92="","",ROW()-19-COUNTBLANK($F$20:F92))</f>
        <v/>
      </c>
      <c r="B92" s="12" t="s">
        <v>2457</v>
      </c>
      <c r="C92" s="12"/>
      <c r="D92" s="12"/>
      <c r="E92" s="12"/>
      <c r="F92" s="12"/>
      <c r="G92" s="12"/>
      <c r="H92" s="12"/>
      <c r="I92" s="12"/>
      <c r="J92" s="12"/>
      <c r="K92" s="12"/>
      <c r="L92" s="12"/>
      <c r="M92" s="12"/>
      <c r="N92" s="12"/>
      <c r="O92" s="12"/>
      <c r="P92" s="12"/>
      <c r="Q92" s="12"/>
    </row>
    <row r="93" spans="1:17" ht="60" customHeight="1" x14ac:dyDescent="0.25">
      <c r="A93" s="9">
        <f>IF(F93="","",ROW()-19-COUNTBLANK($F$20:F93))</f>
        <v>62</v>
      </c>
      <c r="B93" s="4" t="s">
        <v>216</v>
      </c>
      <c r="C93" s="4" t="s">
        <v>2458</v>
      </c>
      <c r="D93" s="4"/>
      <c r="E93" s="7" t="s">
        <v>2459</v>
      </c>
      <c r="F93" s="7" t="s">
        <v>2460</v>
      </c>
      <c r="G93" s="3" t="s">
        <v>55</v>
      </c>
      <c r="H93" s="3"/>
      <c r="I93" s="3"/>
      <c r="J93" s="3"/>
      <c r="K93" s="3"/>
      <c r="L93" s="3"/>
      <c r="M93" s="3"/>
      <c r="N93" s="3"/>
      <c r="O93" s="3"/>
      <c r="P93" s="3"/>
      <c r="Q93" s="3"/>
    </row>
    <row r="94" spans="1:17" ht="60" customHeight="1" x14ac:dyDescent="0.25">
      <c r="A94" s="9">
        <f>IF(F94="","",ROW()-19-COUNTBLANK($F$20:F94))</f>
        <v>63</v>
      </c>
      <c r="B94" s="4" t="s">
        <v>1064</v>
      </c>
      <c r="C94" s="4" t="s">
        <v>2461</v>
      </c>
      <c r="D94" s="4"/>
      <c r="E94" s="7" t="s">
        <v>2462</v>
      </c>
      <c r="F94" s="7" t="s">
        <v>1067</v>
      </c>
      <c r="G94" s="3" t="s">
        <v>55</v>
      </c>
      <c r="H94" s="3"/>
      <c r="I94" s="3"/>
      <c r="J94" s="3"/>
      <c r="K94" s="3"/>
      <c r="L94" s="3"/>
      <c r="M94" s="3"/>
      <c r="N94" s="3"/>
      <c r="O94" s="3"/>
      <c r="P94" s="3"/>
      <c r="Q94" s="3"/>
    </row>
    <row r="95" spans="1:17" ht="60" customHeight="1" x14ac:dyDescent="0.25">
      <c r="A95" s="9">
        <f>IF(F95="","",ROW()-19-COUNTBLANK($F$20:F95))</f>
        <v>64</v>
      </c>
      <c r="B95" s="4" t="s">
        <v>1068</v>
      </c>
      <c r="C95" s="4" t="s">
        <v>2463</v>
      </c>
      <c r="D95" s="4"/>
      <c r="E95" s="7" t="s">
        <v>2464</v>
      </c>
      <c r="F95" s="7" t="s">
        <v>2465</v>
      </c>
      <c r="G95" s="3" t="s">
        <v>73</v>
      </c>
      <c r="H95" s="3"/>
      <c r="I95" s="3"/>
      <c r="J95" s="3"/>
      <c r="K95" s="3"/>
      <c r="L95" s="3"/>
      <c r="M95" s="3"/>
      <c r="N95" s="3"/>
      <c r="O95" s="3"/>
      <c r="P95" s="3"/>
      <c r="Q95" s="3"/>
    </row>
    <row r="96" spans="1:17" ht="60" customHeight="1" x14ac:dyDescent="0.25">
      <c r="A96" s="9">
        <f>IF(F96="","",ROW()-19-COUNTBLANK($F$20:F96))</f>
        <v>65</v>
      </c>
      <c r="B96" s="4" t="s">
        <v>1072</v>
      </c>
      <c r="C96" s="4" t="s">
        <v>2466</v>
      </c>
      <c r="D96" s="4"/>
      <c r="E96" s="7" t="s">
        <v>2459</v>
      </c>
      <c r="F96" s="7" t="s">
        <v>1095</v>
      </c>
      <c r="G96" s="3" t="s">
        <v>73</v>
      </c>
      <c r="H96" s="3"/>
      <c r="I96" s="3"/>
      <c r="J96" s="3"/>
      <c r="K96" s="3"/>
      <c r="L96" s="3"/>
      <c r="M96" s="3"/>
      <c r="N96" s="3"/>
      <c r="O96" s="3"/>
      <c r="P96" s="3"/>
      <c r="Q96" s="3"/>
    </row>
    <row r="97" spans="1:17" ht="20.100000000000001" customHeight="1" x14ac:dyDescent="0.25">
      <c r="A97" s="9" t="str">
        <f>IF(F97="","",ROW()-19-COUNTBLANK($F$20:F97))</f>
        <v/>
      </c>
      <c r="B97" s="12" t="s">
        <v>2467</v>
      </c>
      <c r="C97" s="12"/>
      <c r="D97" s="12"/>
      <c r="E97" s="12"/>
      <c r="F97" s="12"/>
      <c r="G97" s="12"/>
      <c r="H97" s="12"/>
      <c r="I97" s="12"/>
      <c r="J97" s="12"/>
      <c r="K97" s="12"/>
      <c r="L97" s="12"/>
      <c r="M97" s="12"/>
      <c r="N97" s="12"/>
      <c r="O97" s="12"/>
      <c r="P97" s="12"/>
      <c r="Q97" s="12"/>
    </row>
    <row r="98" spans="1:17" ht="60" customHeight="1" x14ac:dyDescent="0.25">
      <c r="A98" s="9">
        <f>IF(F98="","",ROW()-19-COUNTBLANK($F$20:F98))</f>
        <v>66</v>
      </c>
      <c r="B98" s="4" t="s">
        <v>2468</v>
      </c>
      <c r="C98" s="4" t="s">
        <v>2469</v>
      </c>
      <c r="D98" s="4" t="s">
        <v>2470</v>
      </c>
      <c r="E98" s="7" t="s">
        <v>2471</v>
      </c>
      <c r="F98" s="7" t="s">
        <v>2472</v>
      </c>
      <c r="G98" s="3" t="s">
        <v>50</v>
      </c>
      <c r="H98" s="3"/>
      <c r="I98" s="3"/>
      <c r="J98" s="3"/>
      <c r="K98" s="3"/>
      <c r="L98" s="3"/>
      <c r="M98" s="3"/>
      <c r="N98" s="3"/>
      <c r="O98" s="3"/>
      <c r="P98" s="3"/>
      <c r="Q98" s="3"/>
    </row>
    <row r="99" spans="1:17" ht="60" customHeight="1" x14ac:dyDescent="0.25">
      <c r="A99" s="9">
        <f>IF(F99="","",ROW()-19-COUNTBLANK($F$20:F99))</f>
        <v>67</v>
      </c>
      <c r="B99" s="4" t="s">
        <v>2473</v>
      </c>
      <c r="C99" s="4" t="s">
        <v>2474</v>
      </c>
      <c r="D99" s="4" t="s">
        <v>2475</v>
      </c>
      <c r="E99" s="7" t="s">
        <v>2376</v>
      </c>
      <c r="F99" s="7" t="s">
        <v>2476</v>
      </c>
      <c r="G99" s="3" t="s">
        <v>50</v>
      </c>
      <c r="H99" s="3"/>
      <c r="I99" s="3"/>
      <c r="J99" s="3"/>
      <c r="K99" s="3"/>
      <c r="L99" s="3"/>
      <c r="M99" s="3"/>
      <c r="N99" s="3"/>
      <c r="O99" s="3"/>
      <c r="P99" s="3"/>
      <c r="Q99" s="3"/>
    </row>
    <row r="100" spans="1:17" ht="20.100000000000001" customHeight="1" x14ac:dyDescent="0.25">
      <c r="A100" s="9" t="str">
        <f>IF(F100="","",ROW()-19-COUNTBLANK($F$20:F100))</f>
        <v/>
      </c>
      <c r="B100" s="12" t="s">
        <v>2477</v>
      </c>
      <c r="C100" s="12"/>
      <c r="D100" s="12"/>
      <c r="E100" s="12"/>
      <c r="F100" s="12"/>
      <c r="G100" s="12"/>
      <c r="H100" s="12"/>
      <c r="I100" s="12"/>
      <c r="J100" s="12"/>
      <c r="K100" s="12"/>
      <c r="L100" s="12"/>
      <c r="M100" s="12"/>
      <c r="N100" s="12"/>
      <c r="O100" s="12"/>
      <c r="P100" s="12"/>
      <c r="Q100" s="12"/>
    </row>
    <row r="101" spans="1:17" ht="60" customHeight="1" x14ac:dyDescent="0.25">
      <c r="A101" s="9">
        <f>IF(F101="","",ROW()-19-COUNTBLANK($F$20:F101))</f>
        <v>68</v>
      </c>
      <c r="B101" s="4" t="s">
        <v>114</v>
      </c>
      <c r="C101" s="4" t="s">
        <v>2478</v>
      </c>
      <c r="D101" s="4"/>
      <c r="E101" s="7" t="s">
        <v>2479</v>
      </c>
      <c r="F101" s="7" t="s">
        <v>2480</v>
      </c>
      <c r="G101" s="3" t="s">
        <v>55</v>
      </c>
      <c r="H101" s="3"/>
      <c r="I101" s="3"/>
      <c r="J101" s="3"/>
      <c r="K101" s="3"/>
      <c r="L101" s="3"/>
      <c r="M101" s="3"/>
      <c r="N101" s="3"/>
      <c r="O101" s="3"/>
      <c r="P101" s="3"/>
      <c r="Q101" s="3"/>
    </row>
    <row r="102" spans="1:17" ht="60" customHeight="1" x14ac:dyDescent="0.25">
      <c r="A102" s="9">
        <f>IF(F102="","",ROW()-19-COUNTBLANK($F$20:F102))</f>
        <v>69</v>
      </c>
      <c r="B102" s="4" t="s">
        <v>118</v>
      </c>
      <c r="C102" s="4" t="s">
        <v>2481</v>
      </c>
      <c r="D102" s="4"/>
      <c r="E102" s="7" t="s">
        <v>2482</v>
      </c>
      <c r="F102" s="7" t="s">
        <v>359</v>
      </c>
      <c r="G102" s="3" t="s">
        <v>55</v>
      </c>
      <c r="H102" s="3"/>
      <c r="I102" s="3"/>
      <c r="J102" s="3"/>
      <c r="K102" s="3"/>
      <c r="L102" s="3"/>
      <c r="M102" s="3"/>
      <c r="N102" s="3"/>
      <c r="O102" s="3"/>
      <c r="P102" s="3"/>
      <c r="Q102" s="3"/>
    </row>
    <row r="103" spans="1:17" ht="60" customHeight="1" x14ac:dyDescent="0.25">
      <c r="A103" s="9">
        <f>IF(F103="","",ROW()-19-COUNTBLANK($F$20:F103))</f>
        <v>70</v>
      </c>
      <c r="B103" s="4" t="s">
        <v>122</v>
      </c>
      <c r="C103" s="4" t="s">
        <v>2483</v>
      </c>
      <c r="D103" s="4"/>
      <c r="E103" s="7" t="s">
        <v>2484</v>
      </c>
      <c r="F103" s="7" t="s">
        <v>2485</v>
      </c>
      <c r="G103" s="3" t="s">
        <v>55</v>
      </c>
      <c r="H103" s="3"/>
      <c r="I103" s="3"/>
      <c r="J103" s="3"/>
      <c r="K103" s="3"/>
      <c r="L103" s="3"/>
      <c r="M103" s="3"/>
      <c r="N103" s="3"/>
      <c r="O103" s="3"/>
      <c r="P103" s="3"/>
      <c r="Q103" s="3"/>
    </row>
    <row r="104" spans="1:17" ht="20.100000000000001" customHeight="1" x14ac:dyDescent="0.25">
      <c r="A104" s="9" t="str">
        <f>IF(F104="","",ROW()-19-COUNTBLANK($F$20:F104))</f>
        <v/>
      </c>
      <c r="B104" s="12" t="s">
        <v>2486</v>
      </c>
      <c r="C104" s="12"/>
      <c r="D104" s="12"/>
      <c r="E104" s="12"/>
      <c r="F104" s="12"/>
      <c r="G104" s="12"/>
      <c r="H104" s="12"/>
      <c r="I104" s="12"/>
      <c r="J104" s="12"/>
      <c r="K104" s="12"/>
      <c r="L104" s="12"/>
      <c r="M104" s="12"/>
      <c r="N104" s="12"/>
      <c r="O104" s="12"/>
      <c r="P104" s="12"/>
      <c r="Q104" s="12"/>
    </row>
    <row r="105" spans="1:17" ht="60" customHeight="1" x14ac:dyDescent="0.25">
      <c r="A105" s="9">
        <f>IF(F105="","",ROW()-19-COUNTBLANK($F$20:F105))</f>
        <v>71</v>
      </c>
      <c r="B105" s="4" t="s">
        <v>114</v>
      </c>
      <c r="C105" s="4" t="s">
        <v>2487</v>
      </c>
      <c r="D105" s="4"/>
      <c r="E105" s="7" t="s">
        <v>2488</v>
      </c>
      <c r="F105" s="7" t="s">
        <v>2489</v>
      </c>
      <c r="G105" s="3" t="s">
        <v>55</v>
      </c>
      <c r="H105" s="3"/>
      <c r="I105" s="3"/>
      <c r="J105" s="3"/>
      <c r="K105" s="3"/>
      <c r="L105" s="3"/>
      <c r="M105" s="3"/>
      <c r="N105" s="3"/>
      <c r="O105" s="3"/>
      <c r="P105" s="3"/>
      <c r="Q105" s="3"/>
    </row>
    <row r="106" spans="1:17" ht="60" customHeight="1" x14ac:dyDescent="0.25">
      <c r="A106" s="9">
        <f>IF(F106="","",ROW()-19-COUNTBLANK($F$20:F106))</f>
        <v>72</v>
      </c>
      <c r="B106" s="4" t="s">
        <v>118</v>
      </c>
      <c r="C106" s="4" t="s">
        <v>2490</v>
      </c>
      <c r="D106" s="4"/>
      <c r="E106" s="7" t="s">
        <v>2491</v>
      </c>
      <c r="F106" s="7" t="s">
        <v>359</v>
      </c>
      <c r="G106" s="3" t="s">
        <v>55</v>
      </c>
      <c r="H106" s="3"/>
      <c r="I106" s="3"/>
      <c r="J106" s="3"/>
      <c r="K106" s="3"/>
      <c r="L106" s="3"/>
      <c r="M106" s="3"/>
      <c r="N106" s="3"/>
      <c r="O106" s="3"/>
      <c r="P106" s="3"/>
      <c r="Q106" s="3"/>
    </row>
    <row r="107" spans="1:17" ht="60" customHeight="1" x14ac:dyDescent="0.25">
      <c r="A107" s="9">
        <f>IF(F107="","",ROW()-19-COUNTBLANK($F$20:F107))</f>
        <v>73</v>
      </c>
      <c r="B107" s="4" t="s">
        <v>122</v>
      </c>
      <c r="C107" s="4" t="s">
        <v>2492</v>
      </c>
      <c r="D107" s="4"/>
      <c r="E107" s="7" t="s">
        <v>2493</v>
      </c>
      <c r="F107" s="7" t="s">
        <v>2494</v>
      </c>
      <c r="G107" s="3" t="s">
        <v>50</v>
      </c>
      <c r="H107" s="3"/>
      <c r="I107" s="3"/>
      <c r="J107" s="3"/>
      <c r="K107" s="3"/>
      <c r="L107" s="3"/>
      <c r="M107" s="3"/>
      <c r="N107" s="3"/>
      <c r="O107" s="3"/>
      <c r="P107" s="3"/>
      <c r="Q107" s="3"/>
    </row>
    <row r="108" spans="1:17" ht="20.100000000000001" customHeight="1" x14ac:dyDescent="0.25">
      <c r="A108" s="9" t="str">
        <f>IF(F108="","",ROW()-19-COUNTBLANK($F$20:F108))</f>
        <v/>
      </c>
      <c r="B108" s="12" t="s">
        <v>2495</v>
      </c>
      <c r="C108" s="12"/>
      <c r="D108" s="12"/>
      <c r="E108" s="12"/>
      <c r="F108" s="12"/>
      <c r="G108" s="12"/>
      <c r="H108" s="12"/>
      <c r="I108" s="12"/>
      <c r="J108" s="12"/>
      <c r="K108" s="12"/>
      <c r="L108" s="12"/>
      <c r="M108" s="12"/>
      <c r="N108" s="12"/>
      <c r="O108" s="12"/>
      <c r="P108" s="12"/>
      <c r="Q108" s="12"/>
    </row>
    <row r="109" spans="1:17" ht="60" customHeight="1" x14ac:dyDescent="0.25">
      <c r="A109" s="9">
        <f>IF(F109="","",ROW()-19-COUNTBLANK($F$20:F109))</f>
        <v>74</v>
      </c>
      <c r="B109" s="4" t="s">
        <v>114</v>
      </c>
      <c r="C109" s="4" t="s">
        <v>2496</v>
      </c>
      <c r="D109" s="4"/>
      <c r="E109" s="7" t="s">
        <v>2497</v>
      </c>
      <c r="F109" s="7" t="s">
        <v>2498</v>
      </c>
      <c r="G109" s="3" t="s">
        <v>55</v>
      </c>
      <c r="H109" s="3"/>
      <c r="I109" s="3"/>
      <c r="J109" s="3"/>
      <c r="K109" s="3"/>
      <c r="L109" s="3"/>
      <c r="M109" s="3"/>
      <c r="N109" s="3"/>
      <c r="O109" s="3"/>
      <c r="P109" s="3"/>
      <c r="Q109" s="3"/>
    </row>
    <row r="110" spans="1:17" ht="60" customHeight="1" x14ac:dyDescent="0.25">
      <c r="A110" s="9">
        <f>IF(F110="","",ROW()-19-COUNTBLANK($F$20:F110))</f>
        <v>75</v>
      </c>
      <c r="B110" s="4" t="s">
        <v>118</v>
      </c>
      <c r="C110" s="4" t="s">
        <v>2499</v>
      </c>
      <c r="D110" s="4"/>
      <c r="E110" s="7" t="s">
        <v>2500</v>
      </c>
      <c r="F110" s="7" t="s">
        <v>359</v>
      </c>
      <c r="G110" s="3" t="s">
        <v>55</v>
      </c>
      <c r="H110" s="3"/>
      <c r="I110" s="3"/>
      <c r="J110" s="3"/>
      <c r="K110" s="3"/>
      <c r="L110" s="3"/>
      <c r="M110" s="3"/>
      <c r="N110" s="3"/>
      <c r="O110" s="3"/>
      <c r="P110" s="3"/>
      <c r="Q110" s="3"/>
    </row>
    <row r="111" spans="1:17" ht="60" customHeight="1" x14ac:dyDescent="0.25">
      <c r="A111" s="9">
        <f>IF(F111="","",ROW()-19-COUNTBLANK($F$20:F111))</f>
        <v>76</v>
      </c>
      <c r="B111" s="4" t="s">
        <v>122</v>
      </c>
      <c r="C111" s="4" t="s">
        <v>2501</v>
      </c>
      <c r="D111" s="4"/>
      <c r="E111" s="7" t="s">
        <v>2502</v>
      </c>
      <c r="F111" s="7" t="s">
        <v>2503</v>
      </c>
      <c r="G111" s="3" t="s">
        <v>50</v>
      </c>
      <c r="H111" s="3"/>
      <c r="I111" s="3"/>
      <c r="J111" s="3"/>
      <c r="K111" s="3"/>
      <c r="L111" s="3"/>
      <c r="M111" s="3"/>
      <c r="N111" s="3"/>
      <c r="O111" s="3"/>
      <c r="P111" s="3"/>
      <c r="Q111" s="3"/>
    </row>
    <row r="112" spans="1:17" ht="20.100000000000001" customHeight="1" x14ac:dyDescent="0.25">
      <c r="A112" s="9" t="str">
        <f>IF(F112="","",ROW()-19-COUNTBLANK($F$20:F112))</f>
        <v/>
      </c>
      <c r="B112" s="12" t="s">
        <v>2504</v>
      </c>
      <c r="C112" s="12"/>
      <c r="D112" s="12"/>
      <c r="E112" s="12"/>
      <c r="F112" s="12"/>
      <c r="G112" s="12"/>
      <c r="H112" s="12"/>
      <c r="I112" s="12"/>
      <c r="J112" s="12"/>
      <c r="K112" s="12"/>
      <c r="L112" s="12"/>
      <c r="M112" s="12"/>
      <c r="N112" s="12"/>
      <c r="O112" s="12"/>
      <c r="P112" s="12"/>
      <c r="Q112" s="12"/>
    </row>
    <row r="113" spans="1:17" ht="60" customHeight="1" x14ac:dyDescent="0.25">
      <c r="A113" s="9">
        <f>IF(F113="","",ROW()-19-COUNTBLANK($F$20:F113))</f>
        <v>77</v>
      </c>
      <c r="B113" s="4" t="s">
        <v>46</v>
      </c>
      <c r="C113" s="4" t="s">
        <v>2505</v>
      </c>
      <c r="D113" s="4"/>
      <c r="E113" s="7" t="s">
        <v>2506</v>
      </c>
      <c r="F113" s="7" t="s">
        <v>2507</v>
      </c>
      <c r="G113" s="3" t="s">
        <v>50</v>
      </c>
      <c r="H113" s="3"/>
      <c r="I113" s="3"/>
      <c r="J113" s="3"/>
      <c r="K113" s="3"/>
      <c r="L113" s="3"/>
      <c r="M113" s="3"/>
      <c r="N113" s="3"/>
      <c r="O113" s="3"/>
      <c r="P113" s="3"/>
      <c r="Q113" s="3"/>
    </row>
    <row r="114" spans="1:17" ht="60" customHeight="1" x14ac:dyDescent="0.25">
      <c r="A114" s="9">
        <f>IF(F114="","",ROW()-19-COUNTBLANK($F$20:F114))</f>
        <v>78</v>
      </c>
      <c r="B114" s="4" t="s">
        <v>51</v>
      </c>
      <c r="C114" s="4" t="s">
        <v>52</v>
      </c>
      <c r="D114" s="4"/>
      <c r="E114" s="7" t="s">
        <v>2508</v>
      </c>
      <c r="F114" s="7" t="s">
        <v>54</v>
      </c>
      <c r="G114" s="3" t="s">
        <v>55</v>
      </c>
      <c r="H114" s="3"/>
      <c r="I114" s="3"/>
      <c r="J114" s="3"/>
      <c r="K114" s="3"/>
      <c r="L114" s="3"/>
      <c r="M114" s="3"/>
      <c r="N114" s="3"/>
      <c r="O114" s="3"/>
      <c r="P114" s="3"/>
      <c r="Q114" s="3"/>
    </row>
    <row r="115" spans="1:17" ht="60" customHeight="1" x14ac:dyDescent="0.25">
      <c r="A115" s="9">
        <f>IF(F115="","",ROW()-19-COUNTBLANK($F$20:F115))</f>
        <v>79</v>
      </c>
      <c r="B115" s="4" t="s">
        <v>56</v>
      </c>
      <c r="C115" s="4" t="s">
        <v>57</v>
      </c>
      <c r="D115" s="4"/>
      <c r="E115" s="7" t="s">
        <v>2509</v>
      </c>
      <c r="F115" s="7" t="s">
        <v>2510</v>
      </c>
      <c r="G115" s="3" t="s">
        <v>55</v>
      </c>
      <c r="H115" s="3"/>
      <c r="I115" s="3"/>
      <c r="J115" s="3"/>
      <c r="K115" s="3"/>
      <c r="L115" s="3"/>
      <c r="M115" s="3"/>
      <c r="N115" s="3"/>
      <c r="O115" s="3"/>
      <c r="P115" s="3"/>
      <c r="Q115" s="3"/>
    </row>
    <row r="116" spans="1:17" ht="60" customHeight="1" x14ac:dyDescent="0.25">
      <c r="A116" s="9">
        <f>IF(F116="","",ROW()-19-COUNTBLANK($F$20:F116))</f>
        <v>80</v>
      </c>
      <c r="B116" s="4" t="s">
        <v>60</v>
      </c>
      <c r="C116" s="4" t="s">
        <v>61</v>
      </c>
      <c r="D116" s="4"/>
      <c r="E116" s="7" t="s">
        <v>2511</v>
      </c>
      <c r="F116" s="7" t="s">
        <v>63</v>
      </c>
      <c r="G116" s="3" t="s">
        <v>55</v>
      </c>
      <c r="H116" s="3"/>
      <c r="I116" s="3"/>
      <c r="J116" s="3"/>
      <c r="K116" s="3"/>
      <c r="L116" s="3"/>
      <c r="M116" s="3"/>
      <c r="N116" s="3"/>
      <c r="O116" s="3"/>
      <c r="P116" s="3"/>
      <c r="Q116" s="3"/>
    </row>
    <row r="117" spans="1:17" ht="60" customHeight="1" x14ac:dyDescent="0.25">
      <c r="A117" s="9">
        <f>IF(F117="","",ROW()-19-COUNTBLANK($F$20:F117))</f>
        <v>81</v>
      </c>
      <c r="B117" s="4" t="s">
        <v>64</v>
      </c>
      <c r="C117" s="4" t="s">
        <v>65</v>
      </c>
      <c r="D117" s="4"/>
      <c r="E117" s="7" t="s">
        <v>2512</v>
      </c>
      <c r="F117" s="7" t="s">
        <v>2513</v>
      </c>
      <c r="G117" s="3" t="s">
        <v>55</v>
      </c>
      <c r="H117" s="3"/>
      <c r="I117" s="3"/>
      <c r="J117" s="3"/>
      <c r="K117" s="3"/>
      <c r="L117" s="3"/>
      <c r="M117" s="3"/>
      <c r="N117" s="3"/>
      <c r="O117" s="3"/>
      <c r="P117" s="3"/>
      <c r="Q117" s="3"/>
    </row>
    <row r="118" spans="1:17" ht="60" customHeight="1" x14ac:dyDescent="0.25">
      <c r="A118" s="9">
        <f>IF(F118="","",ROW()-19-COUNTBLANK($F$20:F118))</f>
        <v>82</v>
      </c>
      <c r="B118" s="4" t="s">
        <v>68</v>
      </c>
      <c r="C118" s="4" t="s">
        <v>69</v>
      </c>
      <c r="D118" s="4" t="s">
        <v>70</v>
      </c>
      <c r="E118" s="7" t="s">
        <v>2514</v>
      </c>
      <c r="F118" s="7" t="s">
        <v>72</v>
      </c>
      <c r="G118" s="3" t="s">
        <v>73</v>
      </c>
      <c r="H118" s="3"/>
      <c r="I118" s="3"/>
      <c r="J118" s="3"/>
      <c r="K118" s="3"/>
      <c r="L118" s="3"/>
      <c r="M118" s="3"/>
      <c r="N118" s="3"/>
      <c r="O118" s="3"/>
      <c r="P118" s="3"/>
      <c r="Q118" s="3"/>
    </row>
    <row r="119" spans="1:17" ht="60" customHeight="1" x14ac:dyDescent="0.25">
      <c r="A119" s="9">
        <f>IF(F119="","",ROW()-19-COUNTBLANK($F$20:F119))</f>
        <v>83</v>
      </c>
      <c r="B119" s="4" t="s">
        <v>2515</v>
      </c>
      <c r="C119" s="4" t="s">
        <v>2516</v>
      </c>
      <c r="D119" s="4"/>
      <c r="E119" s="7" t="s">
        <v>2517</v>
      </c>
      <c r="F119" s="7" t="s">
        <v>2518</v>
      </c>
      <c r="G119" s="3" t="s">
        <v>50</v>
      </c>
      <c r="H119" s="3"/>
      <c r="I119" s="3"/>
      <c r="J119" s="3"/>
      <c r="K119" s="3"/>
      <c r="L119" s="3"/>
      <c r="M119" s="3"/>
      <c r="N119" s="3"/>
      <c r="O119" s="3"/>
      <c r="P119" s="3"/>
      <c r="Q119" s="3"/>
    </row>
    <row r="120" spans="1:17" ht="20.100000000000001" customHeight="1" x14ac:dyDescent="0.25">
      <c r="A120" s="9" t="str">
        <f>IF(F120="","",ROW()-19-COUNTBLANK($F$20:F120))</f>
        <v/>
      </c>
      <c r="B120" s="12" t="s">
        <v>2519</v>
      </c>
      <c r="C120" s="12"/>
      <c r="D120" s="12"/>
      <c r="E120" s="12"/>
      <c r="F120" s="12"/>
      <c r="G120" s="12"/>
      <c r="H120" s="12"/>
      <c r="I120" s="12"/>
      <c r="J120" s="12"/>
      <c r="K120" s="12"/>
      <c r="L120" s="12"/>
      <c r="M120" s="12"/>
      <c r="N120" s="12"/>
      <c r="O120" s="12"/>
      <c r="P120" s="12"/>
      <c r="Q120" s="12"/>
    </row>
    <row r="121" spans="1:17" ht="60" customHeight="1" x14ac:dyDescent="0.25">
      <c r="A121" s="9">
        <f>IF(F121="","",ROW()-19-COUNTBLANK($F$20:F121))</f>
        <v>84</v>
      </c>
      <c r="B121" s="4" t="s">
        <v>216</v>
      </c>
      <c r="C121" s="4" t="s">
        <v>2520</v>
      </c>
      <c r="D121" s="4"/>
      <c r="E121" s="7" t="s">
        <v>2521</v>
      </c>
      <c r="F121" s="7" t="s">
        <v>2522</v>
      </c>
      <c r="G121" s="3" t="s">
        <v>55</v>
      </c>
      <c r="H121" s="3"/>
      <c r="I121" s="3"/>
      <c r="J121" s="3"/>
      <c r="K121" s="3"/>
      <c r="L121" s="3"/>
      <c r="M121" s="3"/>
      <c r="N121" s="3"/>
      <c r="O121" s="3"/>
      <c r="P121" s="3"/>
      <c r="Q121" s="3"/>
    </row>
    <row r="122" spans="1:17" ht="60" customHeight="1" x14ac:dyDescent="0.25">
      <c r="A122" s="9">
        <f>IF(F122="","",ROW()-19-COUNTBLANK($F$20:F122))</f>
        <v>85</v>
      </c>
      <c r="B122" s="4" t="s">
        <v>132</v>
      </c>
      <c r="C122" s="4" t="s">
        <v>2523</v>
      </c>
      <c r="D122" s="4"/>
      <c r="E122" s="7" t="s">
        <v>2521</v>
      </c>
      <c r="F122" s="7" t="s">
        <v>2524</v>
      </c>
      <c r="G122" s="3" t="s">
        <v>55</v>
      </c>
      <c r="H122" s="3"/>
      <c r="I122" s="3"/>
      <c r="J122" s="3"/>
      <c r="K122" s="3"/>
      <c r="L122" s="3"/>
      <c r="M122" s="3"/>
      <c r="N122" s="3"/>
      <c r="O122" s="3"/>
      <c r="P122" s="3"/>
      <c r="Q122" s="3"/>
    </row>
    <row r="123" spans="1:17" ht="60" customHeight="1" x14ac:dyDescent="0.25">
      <c r="A123" s="9">
        <f>IF(F123="","",ROW()-19-COUNTBLANK($F$20:F123))</f>
        <v>86</v>
      </c>
      <c r="B123" s="4" t="s">
        <v>465</v>
      </c>
      <c r="C123" s="4" t="s">
        <v>2525</v>
      </c>
      <c r="D123" s="4"/>
      <c r="E123" s="7" t="s">
        <v>2521</v>
      </c>
      <c r="F123" s="7" t="s">
        <v>2526</v>
      </c>
      <c r="G123" s="3" t="s">
        <v>73</v>
      </c>
      <c r="H123" s="3"/>
      <c r="I123" s="3"/>
      <c r="J123" s="3"/>
      <c r="K123" s="3"/>
      <c r="L123" s="3"/>
      <c r="M123" s="3"/>
      <c r="N123" s="3"/>
      <c r="O123" s="3"/>
      <c r="P123" s="3"/>
      <c r="Q123" s="3"/>
    </row>
    <row r="124" spans="1:17" ht="60" customHeight="1" x14ac:dyDescent="0.25">
      <c r="A124" s="9">
        <f>IF(F124="","",ROW()-19-COUNTBLANK($F$20:F124))</f>
        <v>87</v>
      </c>
      <c r="B124" s="4" t="s">
        <v>469</v>
      </c>
      <c r="C124" s="4" t="s">
        <v>2527</v>
      </c>
      <c r="D124" s="4" t="s">
        <v>2528</v>
      </c>
      <c r="E124" s="7" t="s">
        <v>2529</v>
      </c>
      <c r="F124" s="7" t="s">
        <v>2530</v>
      </c>
      <c r="G124" s="3" t="s">
        <v>50</v>
      </c>
      <c r="H124" s="3"/>
      <c r="I124" s="3"/>
      <c r="J124" s="3"/>
      <c r="K124" s="3"/>
      <c r="L124" s="3"/>
      <c r="M124" s="3"/>
      <c r="N124" s="3"/>
      <c r="O124" s="3"/>
      <c r="P124" s="3"/>
      <c r="Q124" s="3"/>
    </row>
    <row r="125" spans="1:17" ht="60" customHeight="1" x14ac:dyDescent="0.25">
      <c r="A125" s="9">
        <f>IF(F125="","",ROW()-19-COUNTBLANK($F$20:F125))</f>
        <v>88</v>
      </c>
      <c r="B125" s="17" t="s">
        <v>150</v>
      </c>
      <c r="C125" s="17" t="s">
        <v>162</v>
      </c>
      <c r="D125" s="4" t="s">
        <v>2531</v>
      </c>
      <c r="E125" s="7" t="s">
        <v>2532</v>
      </c>
      <c r="F125" s="7" t="s">
        <v>2533</v>
      </c>
      <c r="G125" s="3" t="s">
        <v>50</v>
      </c>
      <c r="H125" s="3"/>
      <c r="I125" s="3"/>
      <c r="J125" s="3"/>
      <c r="K125" s="3"/>
      <c r="L125" s="3"/>
      <c r="M125" s="3"/>
      <c r="N125" s="3"/>
      <c r="O125" s="3"/>
      <c r="P125" s="3"/>
      <c r="Q125" s="3"/>
    </row>
    <row r="126" spans="1:17" ht="60" customHeight="1" x14ac:dyDescent="0.25">
      <c r="A126" s="9">
        <f>IF(F126="","",ROW()-19-COUNTBLANK($F$20:F126))</f>
        <v>89</v>
      </c>
      <c r="B126" s="18"/>
      <c r="C126" s="18"/>
      <c r="D126" s="4" t="s">
        <v>2534</v>
      </c>
      <c r="E126" s="7" t="s">
        <v>2535</v>
      </c>
      <c r="F126" s="7" t="s">
        <v>2536</v>
      </c>
      <c r="G126" s="3" t="s">
        <v>50</v>
      </c>
      <c r="H126" s="3"/>
      <c r="I126" s="3"/>
      <c r="J126" s="3"/>
      <c r="K126" s="3"/>
      <c r="L126" s="3"/>
      <c r="M126" s="3"/>
      <c r="N126" s="3"/>
      <c r="O126" s="3"/>
      <c r="P126" s="3"/>
      <c r="Q126" s="3"/>
    </row>
    <row r="127" spans="1:17" ht="60" customHeight="1" x14ac:dyDescent="0.25">
      <c r="A127" s="9">
        <f>IF(F127="","",ROW()-19-COUNTBLANK($F$20:F127))</f>
        <v>90</v>
      </c>
      <c r="B127" s="18"/>
      <c r="C127" s="19"/>
      <c r="D127" s="4" t="s">
        <v>2537</v>
      </c>
      <c r="E127" s="7" t="s">
        <v>2538</v>
      </c>
      <c r="F127" s="7" t="s">
        <v>2539</v>
      </c>
      <c r="G127" s="3" t="s">
        <v>50</v>
      </c>
      <c r="H127" s="3"/>
      <c r="I127" s="3"/>
      <c r="J127" s="3"/>
      <c r="K127" s="3"/>
      <c r="L127" s="3"/>
      <c r="M127" s="3"/>
      <c r="N127" s="3"/>
      <c r="O127" s="3"/>
      <c r="P127" s="3"/>
      <c r="Q127" s="3"/>
    </row>
    <row r="128" spans="1:17" ht="60" customHeight="1" x14ac:dyDescent="0.25">
      <c r="A128" s="9">
        <f>IF(F128="","",ROW()-19-COUNTBLANK($F$20:F128))</f>
        <v>91</v>
      </c>
      <c r="B128" s="18"/>
      <c r="C128" s="17" t="s">
        <v>151</v>
      </c>
      <c r="D128" s="4" t="s">
        <v>2540</v>
      </c>
      <c r="E128" s="7" t="s">
        <v>2541</v>
      </c>
      <c r="F128" s="7" t="s">
        <v>2542</v>
      </c>
      <c r="G128" s="3" t="s">
        <v>50</v>
      </c>
      <c r="H128" s="3"/>
      <c r="I128" s="3"/>
      <c r="J128" s="3"/>
      <c r="K128" s="3"/>
      <c r="L128" s="3"/>
      <c r="M128" s="3"/>
      <c r="N128" s="3"/>
      <c r="O128" s="3"/>
      <c r="P128" s="3"/>
      <c r="Q128" s="3"/>
    </row>
    <row r="129" spans="1:17" ht="60" customHeight="1" x14ac:dyDescent="0.25">
      <c r="A129" s="9">
        <f>IF(F129="","",ROW()-19-COUNTBLANK($F$20:F129))</f>
        <v>92</v>
      </c>
      <c r="B129" s="18"/>
      <c r="C129" s="18"/>
      <c r="D129" s="4" t="s">
        <v>2543</v>
      </c>
      <c r="E129" s="7" t="s">
        <v>2544</v>
      </c>
      <c r="F129" s="7" t="s">
        <v>2545</v>
      </c>
      <c r="G129" s="3" t="s">
        <v>55</v>
      </c>
      <c r="H129" s="3"/>
      <c r="I129" s="3"/>
      <c r="J129" s="3"/>
      <c r="K129" s="3"/>
      <c r="L129" s="3"/>
      <c r="M129" s="3"/>
      <c r="N129" s="3"/>
      <c r="O129" s="3"/>
      <c r="P129" s="3"/>
      <c r="Q129" s="3"/>
    </row>
    <row r="130" spans="1:17" ht="60" customHeight="1" x14ac:dyDescent="0.25">
      <c r="A130" s="9">
        <f>IF(F130="","",ROW()-19-COUNTBLANK($F$20:F130))</f>
        <v>93</v>
      </c>
      <c r="B130" s="18"/>
      <c r="C130" s="18"/>
      <c r="D130" s="4" t="s">
        <v>2546</v>
      </c>
      <c r="E130" s="7" t="s">
        <v>2547</v>
      </c>
      <c r="F130" s="7" t="s">
        <v>2548</v>
      </c>
      <c r="G130" s="3" t="s">
        <v>55</v>
      </c>
      <c r="H130" s="3"/>
      <c r="I130" s="3"/>
      <c r="J130" s="3"/>
      <c r="K130" s="3"/>
      <c r="L130" s="3"/>
      <c r="M130" s="3"/>
      <c r="N130" s="3"/>
      <c r="O130" s="3"/>
      <c r="P130" s="3"/>
      <c r="Q130" s="3"/>
    </row>
    <row r="131" spans="1:17" ht="60" customHeight="1" x14ac:dyDescent="0.25">
      <c r="A131" s="9">
        <f>IF(F131="","",ROW()-19-COUNTBLANK($F$20:F131))</f>
        <v>94</v>
      </c>
      <c r="B131" s="18"/>
      <c r="C131" s="19"/>
      <c r="D131" s="4" t="s">
        <v>2549</v>
      </c>
      <c r="E131" s="7" t="s">
        <v>2550</v>
      </c>
      <c r="F131" s="7" t="s">
        <v>2551</v>
      </c>
      <c r="G131" s="3" t="s">
        <v>55</v>
      </c>
      <c r="H131" s="3"/>
      <c r="I131" s="3"/>
      <c r="J131" s="3"/>
      <c r="K131" s="3"/>
      <c r="L131" s="3"/>
      <c r="M131" s="3"/>
      <c r="N131" s="3"/>
      <c r="O131" s="3"/>
      <c r="P131" s="3"/>
      <c r="Q131" s="3"/>
    </row>
    <row r="132" spans="1:17" ht="60" customHeight="1" x14ac:dyDescent="0.25">
      <c r="A132" s="9">
        <f>IF(F132="","",ROW()-19-COUNTBLANK($F$20:F132))</f>
        <v>95</v>
      </c>
      <c r="B132" s="18"/>
      <c r="C132" s="17" t="s">
        <v>2552</v>
      </c>
      <c r="D132" s="4" t="s">
        <v>2553</v>
      </c>
      <c r="E132" s="7" t="s">
        <v>2554</v>
      </c>
      <c r="F132" s="7" t="s">
        <v>2533</v>
      </c>
      <c r="G132" s="3" t="s">
        <v>55</v>
      </c>
      <c r="H132" s="3"/>
      <c r="I132" s="3"/>
      <c r="J132" s="3"/>
      <c r="K132" s="3"/>
      <c r="L132" s="3"/>
      <c r="M132" s="3"/>
      <c r="N132" s="3"/>
      <c r="O132" s="3"/>
      <c r="P132" s="3"/>
      <c r="Q132" s="3"/>
    </row>
    <row r="133" spans="1:17" ht="60" customHeight="1" x14ac:dyDescent="0.25">
      <c r="A133" s="9">
        <f>IF(F133="","",ROW()-19-COUNTBLANK($F$20:F133))</f>
        <v>96</v>
      </c>
      <c r="B133" s="18"/>
      <c r="C133" s="18"/>
      <c r="D133" s="4" t="s">
        <v>2555</v>
      </c>
      <c r="E133" s="7" t="s">
        <v>2556</v>
      </c>
      <c r="F133" s="7" t="s">
        <v>2533</v>
      </c>
      <c r="G133" s="3" t="s">
        <v>55</v>
      </c>
      <c r="H133" s="3"/>
      <c r="I133" s="3"/>
      <c r="J133" s="3"/>
      <c r="K133" s="3"/>
      <c r="L133" s="3"/>
      <c r="M133" s="3"/>
      <c r="N133" s="3"/>
      <c r="O133" s="3"/>
      <c r="P133" s="3"/>
      <c r="Q133" s="3"/>
    </row>
    <row r="134" spans="1:17" ht="60" customHeight="1" x14ac:dyDescent="0.25">
      <c r="A134" s="9">
        <f>IF(F134="","",ROW()-19-COUNTBLANK($F$20:F134))</f>
        <v>97</v>
      </c>
      <c r="B134" s="18"/>
      <c r="C134" s="18"/>
      <c r="D134" s="4" t="s">
        <v>2557</v>
      </c>
      <c r="E134" s="7" t="s">
        <v>2558</v>
      </c>
      <c r="F134" s="7" t="s">
        <v>2533</v>
      </c>
      <c r="G134" s="3" t="s">
        <v>55</v>
      </c>
      <c r="H134" s="3"/>
      <c r="I134" s="3"/>
      <c r="J134" s="3"/>
      <c r="K134" s="3"/>
      <c r="L134" s="3"/>
      <c r="M134" s="3"/>
      <c r="N134" s="3"/>
      <c r="O134" s="3"/>
      <c r="P134" s="3"/>
      <c r="Q134" s="3"/>
    </row>
    <row r="135" spans="1:17" ht="60" customHeight="1" x14ac:dyDescent="0.25">
      <c r="A135" s="9">
        <f>IF(F135="","",ROW()-19-COUNTBLANK($F$20:F135))</f>
        <v>98</v>
      </c>
      <c r="B135" s="18"/>
      <c r="C135" s="18"/>
      <c r="D135" s="4" t="s">
        <v>2559</v>
      </c>
      <c r="E135" s="7" t="s">
        <v>2560</v>
      </c>
      <c r="F135" s="7" t="s">
        <v>2533</v>
      </c>
      <c r="G135" s="3" t="s">
        <v>55</v>
      </c>
      <c r="H135" s="3"/>
      <c r="I135" s="3"/>
      <c r="J135" s="3"/>
      <c r="K135" s="3"/>
      <c r="L135" s="3"/>
      <c r="M135" s="3"/>
      <c r="N135" s="3"/>
      <c r="O135" s="3"/>
      <c r="P135" s="3"/>
      <c r="Q135" s="3"/>
    </row>
    <row r="136" spans="1:17" ht="60" customHeight="1" x14ac:dyDescent="0.25">
      <c r="A136" s="9">
        <f>IF(F136="","",ROW()-19-COUNTBLANK($F$20:F136))</f>
        <v>99</v>
      </c>
      <c r="B136" s="18"/>
      <c r="C136" s="18"/>
      <c r="D136" s="4" t="s">
        <v>2561</v>
      </c>
      <c r="E136" s="7" t="s">
        <v>2562</v>
      </c>
      <c r="F136" s="7" t="s">
        <v>2533</v>
      </c>
      <c r="G136" s="3" t="s">
        <v>55</v>
      </c>
      <c r="H136" s="3"/>
      <c r="I136" s="3"/>
      <c r="J136" s="3"/>
      <c r="K136" s="3"/>
      <c r="L136" s="3"/>
      <c r="M136" s="3"/>
      <c r="N136" s="3"/>
      <c r="O136" s="3"/>
      <c r="P136" s="3"/>
      <c r="Q136" s="3"/>
    </row>
    <row r="137" spans="1:17" ht="60" customHeight="1" x14ac:dyDescent="0.25">
      <c r="A137" s="9">
        <f>IF(F137="","",ROW()-19-COUNTBLANK($F$20:F137))</f>
        <v>100</v>
      </c>
      <c r="B137" s="18"/>
      <c r="C137" s="19"/>
      <c r="D137" s="4" t="s">
        <v>2563</v>
      </c>
      <c r="E137" s="7" t="s">
        <v>2564</v>
      </c>
      <c r="F137" s="7" t="s">
        <v>2533</v>
      </c>
      <c r="G137" s="3" t="s">
        <v>55</v>
      </c>
      <c r="H137" s="3"/>
      <c r="I137" s="3"/>
      <c r="J137" s="3"/>
      <c r="K137" s="3"/>
      <c r="L137" s="3"/>
      <c r="M137" s="3"/>
      <c r="N137" s="3"/>
      <c r="O137" s="3"/>
      <c r="P137" s="3"/>
      <c r="Q137" s="3"/>
    </row>
    <row r="138" spans="1:17" ht="60" customHeight="1" x14ac:dyDescent="0.25">
      <c r="A138" s="9">
        <f>IF(F138="","",ROW()-19-COUNTBLANK($F$20:F138))</f>
        <v>101</v>
      </c>
      <c r="B138" s="18"/>
      <c r="C138" s="17" t="s">
        <v>2565</v>
      </c>
      <c r="D138" s="4" t="s">
        <v>2566</v>
      </c>
      <c r="E138" s="7" t="s">
        <v>2567</v>
      </c>
      <c r="F138" s="7" t="s">
        <v>2568</v>
      </c>
      <c r="G138" s="3" t="s">
        <v>50</v>
      </c>
      <c r="H138" s="3"/>
      <c r="I138" s="3"/>
      <c r="J138" s="3"/>
      <c r="K138" s="3"/>
      <c r="L138" s="3"/>
      <c r="M138" s="3"/>
      <c r="N138" s="3"/>
      <c r="O138" s="3"/>
      <c r="P138" s="3"/>
      <c r="Q138" s="3"/>
    </row>
    <row r="139" spans="1:17" ht="60" customHeight="1" x14ac:dyDescent="0.25">
      <c r="A139" s="9">
        <f>IF(F139="","",ROW()-19-COUNTBLANK($F$20:F139))</f>
        <v>102</v>
      </c>
      <c r="B139" s="18"/>
      <c r="C139" s="18"/>
      <c r="D139" s="4" t="s">
        <v>2569</v>
      </c>
      <c r="E139" s="7" t="s">
        <v>2570</v>
      </c>
      <c r="F139" s="7" t="s">
        <v>2571</v>
      </c>
      <c r="G139" s="3" t="s">
        <v>50</v>
      </c>
      <c r="H139" s="3"/>
      <c r="I139" s="3"/>
      <c r="J139" s="3"/>
      <c r="K139" s="3"/>
      <c r="L139" s="3"/>
      <c r="M139" s="3"/>
      <c r="N139" s="3"/>
      <c r="O139" s="3"/>
      <c r="P139" s="3"/>
      <c r="Q139" s="3"/>
    </row>
    <row r="140" spans="1:17" ht="60" customHeight="1" x14ac:dyDescent="0.25">
      <c r="A140" s="9">
        <f>IF(F140="","",ROW()-19-COUNTBLANK($F$20:F140))</f>
        <v>103</v>
      </c>
      <c r="B140" s="18"/>
      <c r="C140" s="18"/>
      <c r="D140" s="4" t="s">
        <v>2572</v>
      </c>
      <c r="E140" s="7" t="s">
        <v>2573</v>
      </c>
      <c r="F140" s="7" t="s">
        <v>2574</v>
      </c>
      <c r="G140" s="3" t="s">
        <v>55</v>
      </c>
      <c r="H140" s="3"/>
      <c r="I140" s="3"/>
      <c r="J140" s="3"/>
      <c r="K140" s="3"/>
      <c r="L140" s="3"/>
      <c r="M140" s="3"/>
      <c r="N140" s="3"/>
      <c r="O140" s="3"/>
      <c r="P140" s="3"/>
      <c r="Q140" s="3"/>
    </row>
    <row r="141" spans="1:17" ht="60" customHeight="1" x14ac:dyDescent="0.25">
      <c r="A141" s="9">
        <f>IF(F141="","",ROW()-19-COUNTBLANK($F$20:F141))</f>
        <v>104</v>
      </c>
      <c r="B141" s="19"/>
      <c r="C141" s="19"/>
      <c r="D141" s="4" t="s">
        <v>2575</v>
      </c>
      <c r="E141" s="7" t="s">
        <v>2576</v>
      </c>
      <c r="F141" s="7" t="s">
        <v>2577</v>
      </c>
      <c r="G141" s="3" t="s">
        <v>50</v>
      </c>
      <c r="H141" s="3"/>
      <c r="I141" s="3"/>
      <c r="J141" s="3"/>
      <c r="K141" s="3"/>
      <c r="L141" s="3"/>
      <c r="M141" s="3"/>
      <c r="N141" s="3"/>
      <c r="O141" s="3"/>
      <c r="P141" s="3"/>
      <c r="Q141" s="3"/>
    </row>
    <row r="142" spans="1:17" ht="60" customHeight="1" x14ac:dyDescent="0.25">
      <c r="A142" s="9">
        <f>IF(F142="","",ROW()-19-COUNTBLANK($F$20:F142))</f>
        <v>105</v>
      </c>
      <c r="B142" s="17" t="s">
        <v>186</v>
      </c>
      <c r="C142" s="17" t="s">
        <v>198</v>
      </c>
      <c r="D142" s="4" t="s">
        <v>2531</v>
      </c>
      <c r="E142" s="7" t="s">
        <v>2578</v>
      </c>
      <c r="F142" s="7" t="s">
        <v>2533</v>
      </c>
      <c r="G142" s="3" t="s">
        <v>50</v>
      </c>
      <c r="H142" s="3"/>
      <c r="I142" s="3"/>
      <c r="J142" s="3"/>
      <c r="K142" s="3"/>
      <c r="L142" s="3"/>
      <c r="M142" s="3"/>
      <c r="N142" s="3"/>
      <c r="O142" s="3"/>
      <c r="P142" s="3"/>
      <c r="Q142" s="3"/>
    </row>
    <row r="143" spans="1:17" ht="60" customHeight="1" x14ac:dyDescent="0.25">
      <c r="A143" s="9">
        <f>IF(F143="","",ROW()-19-COUNTBLANK($F$20:F143))</f>
        <v>106</v>
      </c>
      <c r="B143" s="18"/>
      <c r="C143" s="18"/>
      <c r="D143" s="4" t="s">
        <v>2534</v>
      </c>
      <c r="E143" s="7" t="s">
        <v>2579</v>
      </c>
      <c r="F143" s="7" t="s">
        <v>2580</v>
      </c>
      <c r="G143" s="3" t="s">
        <v>50</v>
      </c>
      <c r="H143" s="3"/>
      <c r="I143" s="3"/>
      <c r="J143" s="3"/>
      <c r="K143" s="3"/>
      <c r="L143" s="3"/>
      <c r="M143" s="3"/>
      <c r="N143" s="3"/>
      <c r="O143" s="3"/>
      <c r="P143" s="3"/>
      <c r="Q143" s="3"/>
    </row>
    <row r="144" spans="1:17" ht="60" customHeight="1" x14ac:dyDescent="0.25">
      <c r="A144" s="9">
        <f>IF(F144="","",ROW()-19-COUNTBLANK($F$20:F144))</f>
        <v>107</v>
      </c>
      <c r="B144" s="18"/>
      <c r="C144" s="19"/>
      <c r="D144" s="4" t="s">
        <v>2537</v>
      </c>
      <c r="E144" s="7" t="s">
        <v>2581</v>
      </c>
      <c r="F144" s="7" t="s">
        <v>2582</v>
      </c>
      <c r="G144" s="3" t="s">
        <v>50</v>
      </c>
      <c r="H144" s="3"/>
      <c r="I144" s="3"/>
      <c r="J144" s="3"/>
      <c r="K144" s="3"/>
      <c r="L144" s="3"/>
      <c r="M144" s="3"/>
      <c r="N144" s="3"/>
      <c r="O144" s="3"/>
      <c r="P144" s="3"/>
      <c r="Q144" s="3"/>
    </row>
    <row r="145" spans="1:17" ht="60" customHeight="1" x14ac:dyDescent="0.25">
      <c r="A145" s="9">
        <f>IF(F145="","",ROW()-19-COUNTBLANK($F$20:F145))</f>
        <v>108</v>
      </c>
      <c r="B145" s="18"/>
      <c r="C145" s="17" t="s">
        <v>187</v>
      </c>
      <c r="D145" s="4" t="s">
        <v>2583</v>
      </c>
      <c r="E145" s="7" t="s">
        <v>2584</v>
      </c>
      <c r="F145" s="7" t="s">
        <v>2585</v>
      </c>
      <c r="G145" s="3" t="s">
        <v>50</v>
      </c>
      <c r="H145" s="3"/>
      <c r="I145" s="3"/>
      <c r="J145" s="3"/>
      <c r="K145" s="3"/>
      <c r="L145" s="3"/>
      <c r="M145" s="3"/>
      <c r="N145" s="3"/>
      <c r="O145" s="3"/>
      <c r="P145" s="3"/>
      <c r="Q145" s="3"/>
    </row>
    <row r="146" spans="1:17" ht="60" customHeight="1" x14ac:dyDescent="0.25">
      <c r="A146" s="9">
        <f>IF(F146="","",ROW()-19-COUNTBLANK($F$20:F146))</f>
        <v>109</v>
      </c>
      <c r="B146" s="18"/>
      <c r="C146" s="18"/>
      <c r="D146" s="4" t="s">
        <v>2586</v>
      </c>
      <c r="E146" s="7" t="s">
        <v>2587</v>
      </c>
      <c r="F146" s="7" t="s">
        <v>2588</v>
      </c>
      <c r="G146" s="3" t="s">
        <v>55</v>
      </c>
      <c r="H146" s="3"/>
      <c r="I146" s="3"/>
      <c r="J146" s="3"/>
      <c r="K146" s="3"/>
      <c r="L146" s="3"/>
      <c r="M146" s="3"/>
      <c r="N146" s="3"/>
      <c r="O146" s="3"/>
      <c r="P146" s="3"/>
      <c r="Q146" s="3"/>
    </row>
    <row r="147" spans="1:17" ht="60" customHeight="1" x14ac:dyDescent="0.25">
      <c r="A147" s="9">
        <f>IF(F147="","",ROW()-19-COUNTBLANK($F$20:F147))</f>
        <v>110</v>
      </c>
      <c r="B147" s="18"/>
      <c r="C147" s="18"/>
      <c r="D147" s="4" t="s">
        <v>2589</v>
      </c>
      <c r="E147" s="7" t="s">
        <v>2590</v>
      </c>
      <c r="F147" s="7" t="s">
        <v>2591</v>
      </c>
      <c r="G147" s="3" t="s">
        <v>55</v>
      </c>
      <c r="H147" s="3"/>
      <c r="I147" s="3"/>
      <c r="J147" s="3"/>
      <c r="K147" s="3"/>
      <c r="L147" s="3"/>
      <c r="M147" s="3"/>
      <c r="N147" s="3"/>
      <c r="O147" s="3"/>
      <c r="P147" s="3"/>
      <c r="Q147" s="3"/>
    </row>
    <row r="148" spans="1:17" ht="60" customHeight="1" x14ac:dyDescent="0.25">
      <c r="A148" s="9">
        <f>IF(F148="","",ROW()-19-COUNTBLANK($F$20:F148))</f>
        <v>111</v>
      </c>
      <c r="B148" s="18"/>
      <c r="C148" s="19"/>
      <c r="D148" s="4" t="s">
        <v>2592</v>
      </c>
      <c r="E148" s="7" t="s">
        <v>2593</v>
      </c>
      <c r="F148" s="7" t="s">
        <v>2591</v>
      </c>
      <c r="G148" s="3" t="s">
        <v>55</v>
      </c>
      <c r="H148" s="3"/>
      <c r="I148" s="3"/>
      <c r="J148" s="3"/>
      <c r="K148" s="3"/>
      <c r="L148" s="3"/>
      <c r="M148" s="3"/>
      <c r="N148" s="3"/>
      <c r="O148" s="3"/>
      <c r="P148" s="3"/>
      <c r="Q148" s="3"/>
    </row>
    <row r="149" spans="1:17" ht="60" customHeight="1" x14ac:dyDescent="0.25">
      <c r="A149" s="9">
        <f>IF(F149="","",ROW()-19-COUNTBLANK($F$20:F149))</f>
        <v>112</v>
      </c>
      <c r="B149" s="18"/>
      <c r="C149" s="17" t="s">
        <v>2594</v>
      </c>
      <c r="D149" s="4" t="s">
        <v>2595</v>
      </c>
      <c r="E149" s="7" t="s">
        <v>2596</v>
      </c>
      <c r="F149" s="7" t="s">
        <v>2533</v>
      </c>
      <c r="G149" s="3" t="s">
        <v>55</v>
      </c>
      <c r="H149" s="3"/>
      <c r="I149" s="3"/>
      <c r="J149" s="3"/>
      <c r="K149" s="3"/>
      <c r="L149" s="3"/>
      <c r="M149" s="3"/>
      <c r="N149" s="3"/>
      <c r="O149" s="3"/>
      <c r="P149" s="3"/>
      <c r="Q149" s="3"/>
    </row>
    <row r="150" spans="1:17" ht="60" customHeight="1" x14ac:dyDescent="0.25">
      <c r="A150" s="9">
        <f>IF(F150="","",ROW()-19-COUNTBLANK($F$20:F150))</f>
        <v>113</v>
      </c>
      <c r="B150" s="18"/>
      <c r="C150" s="18"/>
      <c r="D150" s="4" t="s">
        <v>2597</v>
      </c>
      <c r="E150" s="7" t="s">
        <v>2598</v>
      </c>
      <c r="F150" s="7" t="s">
        <v>2533</v>
      </c>
      <c r="G150" s="3" t="s">
        <v>55</v>
      </c>
      <c r="H150" s="3"/>
      <c r="I150" s="3"/>
      <c r="J150" s="3"/>
      <c r="K150" s="3"/>
      <c r="L150" s="3"/>
      <c r="M150" s="3"/>
      <c r="N150" s="3"/>
      <c r="O150" s="3"/>
      <c r="P150" s="3"/>
      <c r="Q150" s="3"/>
    </row>
    <row r="151" spans="1:17" ht="60" customHeight="1" x14ac:dyDescent="0.25">
      <c r="A151" s="9">
        <f>IF(F151="","",ROW()-19-COUNTBLANK($F$20:F151))</f>
        <v>114</v>
      </c>
      <c r="B151" s="18"/>
      <c r="C151" s="18"/>
      <c r="D151" s="4" t="s">
        <v>2599</v>
      </c>
      <c r="E151" s="7" t="s">
        <v>2600</v>
      </c>
      <c r="F151" s="7" t="s">
        <v>2533</v>
      </c>
      <c r="G151" s="3" t="s">
        <v>55</v>
      </c>
      <c r="H151" s="3"/>
      <c r="I151" s="3"/>
      <c r="J151" s="3"/>
      <c r="K151" s="3"/>
      <c r="L151" s="3"/>
      <c r="M151" s="3"/>
      <c r="N151" s="3"/>
      <c r="O151" s="3"/>
      <c r="P151" s="3"/>
      <c r="Q151" s="3"/>
    </row>
    <row r="152" spans="1:17" ht="60" customHeight="1" x14ac:dyDescent="0.25">
      <c r="A152" s="9">
        <f>IF(F152="","",ROW()-19-COUNTBLANK($F$20:F152))</f>
        <v>115</v>
      </c>
      <c r="B152" s="18"/>
      <c r="C152" s="18"/>
      <c r="D152" s="4" t="s">
        <v>2601</v>
      </c>
      <c r="E152" s="7" t="s">
        <v>2602</v>
      </c>
      <c r="F152" s="7" t="s">
        <v>2533</v>
      </c>
      <c r="G152" s="3" t="s">
        <v>55</v>
      </c>
      <c r="H152" s="3"/>
      <c r="I152" s="3"/>
      <c r="J152" s="3"/>
      <c r="K152" s="3"/>
      <c r="L152" s="3"/>
      <c r="M152" s="3"/>
      <c r="N152" s="3"/>
      <c r="O152" s="3"/>
      <c r="P152" s="3"/>
      <c r="Q152" s="3"/>
    </row>
    <row r="153" spans="1:17" ht="60" customHeight="1" x14ac:dyDescent="0.25">
      <c r="A153" s="9">
        <f>IF(F153="","",ROW()-19-COUNTBLANK($F$20:F153))</f>
        <v>116</v>
      </c>
      <c r="B153" s="18"/>
      <c r="C153" s="18"/>
      <c r="D153" s="4" t="s">
        <v>2603</v>
      </c>
      <c r="E153" s="7" t="s">
        <v>2604</v>
      </c>
      <c r="F153" s="7" t="s">
        <v>2533</v>
      </c>
      <c r="G153" s="3" t="s">
        <v>55</v>
      </c>
      <c r="H153" s="3"/>
      <c r="I153" s="3"/>
      <c r="J153" s="3"/>
      <c r="K153" s="3"/>
      <c r="L153" s="3"/>
      <c r="M153" s="3"/>
      <c r="N153" s="3"/>
      <c r="O153" s="3"/>
      <c r="P153" s="3"/>
      <c r="Q153" s="3"/>
    </row>
    <row r="154" spans="1:17" ht="60" customHeight="1" x14ac:dyDescent="0.25">
      <c r="A154" s="9">
        <f>IF(F154="","",ROW()-19-COUNTBLANK($F$20:F154))</f>
        <v>117</v>
      </c>
      <c r="B154" s="18"/>
      <c r="C154" s="19"/>
      <c r="D154" s="4" t="s">
        <v>2605</v>
      </c>
      <c r="E154" s="7" t="s">
        <v>2606</v>
      </c>
      <c r="F154" s="7" t="s">
        <v>2533</v>
      </c>
      <c r="G154" s="3" t="s">
        <v>55</v>
      </c>
      <c r="H154" s="3"/>
      <c r="I154" s="3"/>
      <c r="J154" s="3"/>
      <c r="K154" s="3"/>
      <c r="L154" s="3"/>
      <c r="M154" s="3"/>
      <c r="N154" s="3"/>
      <c r="O154" s="3"/>
      <c r="P154" s="3"/>
      <c r="Q154" s="3"/>
    </row>
    <row r="155" spans="1:17" ht="60" customHeight="1" x14ac:dyDescent="0.25">
      <c r="A155" s="9">
        <f>IF(F155="","",ROW()-19-COUNTBLANK($F$20:F155))</f>
        <v>118</v>
      </c>
      <c r="B155" s="18"/>
      <c r="C155" s="17" t="s">
        <v>2607</v>
      </c>
      <c r="D155" s="4" t="s">
        <v>2566</v>
      </c>
      <c r="E155" s="7" t="s">
        <v>2608</v>
      </c>
      <c r="F155" s="7" t="s">
        <v>2609</v>
      </c>
      <c r="G155" s="3" t="s">
        <v>50</v>
      </c>
      <c r="H155" s="3"/>
      <c r="I155" s="3"/>
      <c r="J155" s="3"/>
      <c r="K155" s="3"/>
      <c r="L155" s="3"/>
      <c r="M155" s="3"/>
      <c r="N155" s="3"/>
      <c r="O155" s="3"/>
      <c r="P155" s="3"/>
      <c r="Q155" s="3"/>
    </row>
    <row r="156" spans="1:17" ht="60" customHeight="1" x14ac:dyDescent="0.25">
      <c r="A156" s="9">
        <f>IF(F156="","",ROW()-19-COUNTBLANK($F$20:F156))</f>
        <v>119</v>
      </c>
      <c r="B156" s="18"/>
      <c r="C156" s="18"/>
      <c r="D156" s="4" t="s">
        <v>2610</v>
      </c>
      <c r="E156" s="7" t="s">
        <v>2611</v>
      </c>
      <c r="F156" s="7" t="s">
        <v>2612</v>
      </c>
      <c r="G156" s="3" t="s">
        <v>50</v>
      </c>
      <c r="H156" s="3"/>
      <c r="I156" s="3"/>
      <c r="J156" s="3"/>
      <c r="K156" s="3"/>
      <c r="L156" s="3"/>
      <c r="M156" s="3"/>
      <c r="N156" s="3"/>
      <c r="O156" s="3"/>
      <c r="P156" s="3"/>
      <c r="Q156" s="3"/>
    </row>
    <row r="157" spans="1:17" ht="60" customHeight="1" x14ac:dyDescent="0.25">
      <c r="A157" s="9">
        <f>IF(F157="","",ROW()-19-COUNTBLANK($F$20:F157))</f>
        <v>120</v>
      </c>
      <c r="B157" s="18"/>
      <c r="C157" s="18"/>
      <c r="D157" s="4" t="s">
        <v>2613</v>
      </c>
      <c r="E157" s="7" t="s">
        <v>2614</v>
      </c>
      <c r="F157" s="7" t="s">
        <v>2615</v>
      </c>
      <c r="G157" s="3" t="s">
        <v>55</v>
      </c>
      <c r="H157" s="3"/>
      <c r="I157" s="3"/>
      <c r="J157" s="3"/>
      <c r="K157" s="3"/>
      <c r="L157" s="3"/>
      <c r="M157" s="3"/>
      <c r="N157" s="3"/>
      <c r="O157" s="3"/>
      <c r="P157" s="3"/>
      <c r="Q157" s="3"/>
    </row>
    <row r="158" spans="1:17" ht="60" customHeight="1" x14ac:dyDescent="0.25">
      <c r="A158" s="9">
        <f>IF(F158="","",ROW()-19-COUNTBLANK($F$20:F158))</f>
        <v>121</v>
      </c>
      <c r="B158" s="19"/>
      <c r="C158" s="19"/>
      <c r="D158" s="4" t="s">
        <v>2616</v>
      </c>
      <c r="E158" s="7" t="s">
        <v>2617</v>
      </c>
      <c r="F158" s="7" t="s">
        <v>2618</v>
      </c>
      <c r="G158" s="3" t="s">
        <v>50</v>
      </c>
      <c r="H158" s="3"/>
      <c r="I158" s="3"/>
      <c r="J158" s="3"/>
      <c r="K158" s="3"/>
      <c r="L158" s="3"/>
      <c r="M158" s="3"/>
      <c r="N158" s="3"/>
      <c r="O158" s="3"/>
      <c r="P158" s="3"/>
      <c r="Q158" s="3"/>
    </row>
    <row r="159" spans="1:17" ht="60" customHeight="1" x14ac:dyDescent="0.25">
      <c r="A159" s="9">
        <f>IF(F159="","",ROW()-19-COUNTBLANK($F$20:F159))</f>
        <v>122</v>
      </c>
      <c r="B159" s="4" t="s">
        <v>2619</v>
      </c>
      <c r="C159" s="4" t="s">
        <v>2620</v>
      </c>
      <c r="D159" s="4" t="s">
        <v>2621</v>
      </c>
      <c r="E159" s="7" t="s">
        <v>2622</v>
      </c>
      <c r="F159" s="7" t="s">
        <v>2623</v>
      </c>
      <c r="G159" s="3" t="s">
        <v>55</v>
      </c>
      <c r="H159" s="3"/>
      <c r="I159" s="3"/>
      <c r="J159" s="3"/>
      <c r="K159" s="3"/>
      <c r="L159" s="3"/>
      <c r="M159" s="3"/>
      <c r="N159" s="3"/>
      <c r="O159" s="3"/>
      <c r="P159" s="3"/>
      <c r="Q159" s="3"/>
    </row>
    <row r="160" spans="1:17" ht="60" customHeight="1" x14ac:dyDescent="0.25">
      <c r="A160" s="9">
        <f>IF(F160="","",ROW()-19-COUNTBLANK($F$20:F160))</f>
        <v>123</v>
      </c>
      <c r="B160" s="4" t="s">
        <v>2624</v>
      </c>
      <c r="C160" s="4" t="s">
        <v>2625</v>
      </c>
      <c r="D160" s="4" t="s">
        <v>2626</v>
      </c>
      <c r="E160" s="7" t="s">
        <v>2627</v>
      </c>
      <c r="F160" s="7" t="s">
        <v>2628</v>
      </c>
      <c r="G160" s="3" t="s">
        <v>55</v>
      </c>
      <c r="H160" s="3"/>
      <c r="I160" s="3"/>
      <c r="J160" s="3"/>
      <c r="K160" s="3"/>
      <c r="L160" s="3"/>
      <c r="M160" s="3"/>
      <c r="N160" s="3"/>
      <c r="O160" s="3"/>
      <c r="P160" s="3"/>
      <c r="Q160" s="3"/>
    </row>
    <row r="161" spans="1:17" ht="60" customHeight="1" x14ac:dyDescent="0.25">
      <c r="A161" s="9">
        <f>IF(F161="","",ROW()-19-COUNTBLANK($F$20:F161))</f>
        <v>124</v>
      </c>
      <c r="B161" s="4" t="s">
        <v>2629</v>
      </c>
      <c r="C161" s="4" t="s">
        <v>2630</v>
      </c>
      <c r="D161" s="4" t="s">
        <v>2631</v>
      </c>
      <c r="E161" s="7" t="s">
        <v>2632</v>
      </c>
      <c r="F161" s="7" t="s">
        <v>2633</v>
      </c>
      <c r="G161" s="3" t="s">
        <v>73</v>
      </c>
      <c r="H161" s="3"/>
      <c r="I161" s="3"/>
      <c r="J161" s="3"/>
      <c r="K161" s="3"/>
      <c r="L161" s="3"/>
      <c r="M161" s="3"/>
      <c r="N161" s="3"/>
      <c r="O161" s="3"/>
      <c r="P161" s="3"/>
      <c r="Q161" s="3"/>
    </row>
    <row r="162" spans="1:17" ht="20.100000000000001" customHeight="1" x14ac:dyDescent="0.25">
      <c r="A162" s="9" t="str">
        <f>IF(F162="","",ROW()-19-COUNTBLANK($F$20:F162))</f>
        <v/>
      </c>
      <c r="B162" s="12" t="s">
        <v>2634</v>
      </c>
      <c r="C162" s="12"/>
      <c r="D162" s="12"/>
      <c r="E162" s="12"/>
      <c r="F162" s="12"/>
      <c r="G162" s="12"/>
      <c r="H162" s="12"/>
      <c r="I162" s="12"/>
      <c r="J162" s="12"/>
      <c r="K162" s="12"/>
      <c r="L162" s="12"/>
      <c r="M162" s="12"/>
      <c r="N162" s="12"/>
      <c r="O162" s="12"/>
      <c r="P162" s="12"/>
      <c r="Q162" s="12"/>
    </row>
    <row r="163" spans="1:17" ht="60" customHeight="1" x14ac:dyDescent="0.25">
      <c r="A163" s="9">
        <f>IF(F163="","",ROW()-19-COUNTBLANK($F$20:F163))</f>
        <v>125</v>
      </c>
      <c r="B163" s="4" t="s">
        <v>2635</v>
      </c>
      <c r="C163" s="4" t="s">
        <v>2496</v>
      </c>
      <c r="D163" s="4"/>
      <c r="E163" s="7" t="s">
        <v>2636</v>
      </c>
      <c r="F163" s="7" t="s">
        <v>2637</v>
      </c>
      <c r="G163" s="3" t="s">
        <v>55</v>
      </c>
      <c r="H163" s="3"/>
      <c r="I163" s="3"/>
      <c r="J163" s="3"/>
      <c r="K163" s="3"/>
      <c r="L163" s="3"/>
      <c r="M163" s="3"/>
      <c r="N163" s="3"/>
      <c r="O163" s="3"/>
      <c r="P163" s="3"/>
      <c r="Q163" s="3"/>
    </row>
    <row r="164" spans="1:17" ht="60" customHeight="1" x14ac:dyDescent="0.25">
      <c r="A164" s="9">
        <f>IF(F164="","",ROW()-19-COUNTBLANK($F$20:F164))</f>
        <v>126</v>
      </c>
      <c r="B164" s="4" t="s">
        <v>2638</v>
      </c>
      <c r="C164" s="4" t="s">
        <v>2499</v>
      </c>
      <c r="D164" s="4"/>
      <c r="E164" s="7" t="s">
        <v>2639</v>
      </c>
      <c r="F164" s="7" t="s">
        <v>2640</v>
      </c>
      <c r="G164" s="3" t="s">
        <v>55</v>
      </c>
      <c r="H164" s="3"/>
      <c r="I164" s="3"/>
      <c r="J164" s="3"/>
      <c r="K164" s="3"/>
      <c r="L164" s="3"/>
      <c r="M164" s="3"/>
      <c r="N164" s="3"/>
      <c r="O164" s="3"/>
      <c r="P164" s="3"/>
      <c r="Q164" s="3"/>
    </row>
    <row r="165" spans="1:17" ht="60" customHeight="1" x14ac:dyDescent="0.25">
      <c r="A165" s="9">
        <f>IF(F165="","",ROW()-19-COUNTBLANK($F$20:F165))</f>
        <v>127</v>
      </c>
      <c r="B165" s="4" t="s">
        <v>2641</v>
      </c>
      <c r="C165" s="4" t="s">
        <v>2501</v>
      </c>
      <c r="D165" s="4" t="s">
        <v>2642</v>
      </c>
      <c r="E165" s="7" t="s">
        <v>2643</v>
      </c>
      <c r="F165" s="7" t="s">
        <v>2644</v>
      </c>
      <c r="G165" s="3" t="s">
        <v>50</v>
      </c>
      <c r="H165" s="3"/>
      <c r="I165" s="3"/>
      <c r="J165" s="3"/>
      <c r="K165" s="3"/>
      <c r="L165" s="3"/>
      <c r="M165" s="3"/>
      <c r="N165" s="3"/>
      <c r="O165" s="3"/>
      <c r="P165" s="3"/>
      <c r="Q165" s="3"/>
    </row>
    <row r="166" spans="1:17" ht="20.100000000000001" customHeight="1" x14ac:dyDescent="0.25">
      <c r="A166" s="9" t="str">
        <f>IF(F166="","",ROW()-19-COUNTBLANK($F$20:F166))</f>
        <v/>
      </c>
      <c r="B166" s="12" t="s">
        <v>2645</v>
      </c>
      <c r="C166" s="12"/>
      <c r="D166" s="12"/>
      <c r="E166" s="12"/>
      <c r="F166" s="12"/>
      <c r="G166" s="12"/>
      <c r="H166" s="12"/>
      <c r="I166" s="12"/>
      <c r="J166" s="12"/>
      <c r="K166" s="12"/>
      <c r="L166" s="12"/>
      <c r="M166" s="12"/>
      <c r="N166" s="12"/>
      <c r="O166" s="12"/>
      <c r="P166" s="12"/>
      <c r="Q166" s="12"/>
    </row>
    <row r="167" spans="1:17" ht="60" customHeight="1" x14ac:dyDescent="0.25">
      <c r="A167" s="9">
        <f>IF(F167="","",ROW()-19-COUNTBLANK($F$20:F167))</f>
        <v>128</v>
      </c>
      <c r="B167" s="4" t="s">
        <v>2646</v>
      </c>
      <c r="C167" s="4" t="s">
        <v>2478</v>
      </c>
      <c r="D167" s="4"/>
      <c r="E167" s="7" t="s">
        <v>2647</v>
      </c>
      <c r="F167" s="7" t="s">
        <v>2648</v>
      </c>
      <c r="G167" s="3" t="s">
        <v>55</v>
      </c>
      <c r="H167" s="3"/>
      <c r="I167" s="3"/>
      <c r="J167" s="3"/>
      <c r="K167" s="3"/>
      <c r="L167" s="3"/>
      <c r="M167" s="3"/>
      <c r="N167" s="3"/>
      <c r="O167" s="3"/>
      <c r="P167" s="3"/>
      <c r="Q167" s="3"/>
    </row>
    <row r="168" spans="1:17" ht="60" customHeight="1" x14ac:dyDescent="0.25">
      <c r="A168" s="9">
        <f>IF(F168="","",ROW()-19-COUNTBLANK($F$20:F168))</f>
        <v>129</v>
      </c>
      <c r="B168" s="4" t="s">
        <v>2649</v>
      </c>
      <c r="C168" s="4" t="s">
        <v>2481</v>
      </c>
      <c r="D168" s="4"/>
      <c r="E168" s="7" t="s">
        <v>2647</v>
      </c>
      <c r="F168" s="7" t="s">
        <v>2650</v>
      </c>
      <c r="G168" s="3" t="s">
        <v>55</v>
      </c>
      <c r="H168" s="3"/>
      <c r="I168" s="3"/>
      <c r="J168" s="3"/>
      <c r="K168" s="3"/>
      <c r="L168" s="3"/>
      <c r="M168" s="3"/>
      <c r="N168" s="3"/>
      <c r="O168" s="3"/>
      <c r="P168" s="3"/>
      <c r="Q168" s="3"/>
    </row>
    <row r="169" spans="1:17" ht="60" customHeight="1" x14ac:dyDescent="0.25">
      <c r="A169" s="9">
        <f>IF(F169="","",ROW()-19-COUNTBLANK($F$20:F169))</f>
        <v>130</v>
      </c>
      <c r="B169" s="4" t="s">
        <v>2651</v>
      </c>
      <c r="C169" s="4" t="s">
        <v>2483</v>
      </c>
      <c r="D169" s="4" t="s">
        <v>2652</v>
      </c>
      <c r="E169" s="7" t="s">
        <v>2653</v>
      </c>
      <c r="F169" s="7" t="s">
        <v>2654</v>
      </c>
      <c r="G169" s="3" t="s">
        <v>50</v>
      </c>
      <c r="H169" s="3"/>
      <c r="I169" s="3"/>
      <c r="J169" s="3"/>
      <c r="K169" s="3"/>
      <c r="L169" s="3"/>
      <c r="M169" s="3"/>
      <c r="N169" s="3"/>
      <c r="O169" s="3"/>
      <c r="P169" s="3"/>
      <c r="Q169" s="3"/>
    </row>
    <row r="170" spans="1:17" ht="20.100000000000001" customHeight="1" x14ac:dyDescent="0.25">
      <c r="A170" s="9" t="str">
        <f>IF(F170="","",ROW()-19-COUNTBLANK($F$20:F170))</f>
        <v/>
      </c>
      <c r="B170" s="12" t="s">
        <v>2655</v>
      </c>
      <c r="C170" s="12"/>
      <c r="D170" s="12"/>
      <c r="E170" s="12"/>
      <c r="F170" s="12"/>
      <c r="G170" s="12"/>
      <c r="H170" s="12"/>
      <c r="I170" s="12"/>
      <c r="J170" s="12"/>
      <c r="K170" s="12"/>
      <c r="L170" s="12"/>
      <c r="M170" s="12"/>
      <c r="N170" s="12"/>
      <c r="O170" s="12"/>
      <c r="P170" s="12"/>
      <c r="Q170" s="12"/>
    </row>
    <row r="171" spans="1:17" ht="60" customHeight="1" x14ac:dyDescent="0.25">
      <c r="A171" s="9">
        <f>IF(F171="","",ROW()-19-COUNTBLANK($F$20:F171))</f>
        <v>131</v>
      </c>
      <c r="B171" s="4" t="s">
        <v>311</v>
      </c>
      <c r="C171" s="4" t="s">
        <v>312</v>
      </c>
      <c r="D171" s="4"/>
      <c r="E171" s="7" t="s">
        <v>2656</v>
      </c>
      <c r="F171" s="7" t="s">
        <v>2657</v>
      </c>
      <c r="G171" s="3" t="s">
        <v>73</v>
      </c>
      <c r="H171" s="3"/>
      <c r="I171" s="3"/>
      <c r="J171" s="3"/>
      <c r="K171" s="3"/>
      <c r="L171" s="3"/>
      <c r="M171" s="3"/>
      <c r="N171" s="3"/>
      <c r="O171" s="3"/>
      <c r="P171" s="3"/>
      <c r="Q171" s="3"/>
    </row>
    <row r="172" spans="1:17" ht="60" customHeight="1" x14ac:dyDescent="0.25">
      <c r="A172" s="9">
        <f>IF(F172="","",ROW()-19-COUNTBLANK($F$20:F172))</f>
        <v>132</v>
      </c>
      <c r="B172" s="4" t="s">
        <v>315</v>
      </c>
      <c r="C172" s="4" t="s">
        <v>316</v>
      </c>
      <c r="D172" s="4" t="s">
        <v>2658</v>
      </c>
      <c r="E172" s="7" t="s">
        <v>2659</v>
      </c>
      <c r="F172" s="7" t="s">
        <v>2660</v>
      </c>
      <c r="G172" s="3" t="s">
        <v>55</v>
      </c>
      <c r="H172" s="3"/>
      <c r="I172" s="3"/>
      <c r="J172" s="3"/>
      <c r="K172" s="3"/>
      <c r="L172" s="3"/>
      <c r="M172" s="3"/>
      <c r="N172" s="3"/>
      <c r="O172" s="3"/>
      <c r="P172" s="3"/>
      <c r="Q172" s="3"/>
    </row>
    <row r="173" spans="1:17" ht="20.100000000000001" customHeight="1" x14ac:dyDescent="0.25">
      <c r="A173" s="9" t="str">
        <f>IF(F173="","",ROW()-19-COUNTBLANK($F$20:F173))</f>
        <v/>
      </c>
      <c r="B173" s="12" t="s">
        <v>2661</v>
      </c>
      <c r="C173" s="12"/>
      <c r="D173" s="12"/>
      <c r="E173" s="12"/>
      <c r="F173" s="12"/>
      <c r="G173" s="12"/>
      <c r="H173" s="12"/>
      <c r="I173" s="12"/>
      <c r="J173" s="12"/>
      <c r="K173" s="12"/>
      <c r="L173" s="12"/>
      <c r="M173" s="12"/>
      <c r="N173" s="12"/>
      <c r="O173" s="12"/>
      <c r="P173" s="12"/>
      <c r="Q173" s="12"/>
    </row>
    <row r="174" spans="1:17" ht="60" customHeight="1" x14ac:dyDescent="0.25">
      <c r="A174" s="9">
        <f>IF(F174="","",ROW()-19-COUNTBLANK($F$20:F174))</f>
        <v>133</v>
      </c>
      <c r="B174" s="4" t="s">
        <v>46</v>
      </c>
      <c r="C174" s="4" t="s">
        <v>2662</v>
      </c>
      <c r="D174" s="4"/>
      <c r="E174" s="7" t="s">
        <v>2663</v>
      </c>
      <c r="F174" s="7" t="s">
        <v>2664</v>
      </c>
      <c r="G174" s="3" t="s">
        <v>50</v>
      </c>
      <c r="H174" s="3"/>
      <c r="I174" s="3"/>
      <c r="J174" s="3"/>
      <c r="K174" s="3"/>
      <c r="L174" s="3"/>
      <c r="M174" s="3"/>
      <c r="N174" s="3"/>
      <c r="O174" s="3"/>
      <c r="P174" s="3"/>
      <c r="Q174" s="3"/>
    </row>
    <row r="175" spans="1:17" ht="60" customHeight="1" x14ac:dyDescent="0.25">
      <c r="A175" s="9">
        <f>IF(F175="","",ROW()-19-COUNTBLANK($F$20:F175))</f>
        <v>134</v>
      </c>
      <c r="B175" s="4" t="s">
        <v>51</v>
      </c>
      <c r="C175" s="4" t="s">
        <v>52</v>
      </c>
      <c r="D175" s="4"/>
      <c r="E175" s="7" t="s">
        <v>2665</v>
      </c>
      <c r="F175" s="7" t="s">
        <v>54</v>
      </c>
      <c r="G175" s="3" t="s">
        <v>55</v>
      </c>
      <c r="H175" s="3"/>
      <c r="I175" s="3"/>
      <c r="J175" s="3"/>
      <c r="K175" s="3"/>
      <c r="L175" s="3"/>
      <c r="M175" s="3"/>
      <c r="N175" s="3"/>
      <c r="O175" s="3"/>
      <c r="P175" s="3"/>
      <c r="Q175" s="3"/>
    </row>
    <row r="176" spans="1:17" ht="60" customHeight="1" x14ac:dyDescent="0.25">
      <c r="A176" s="9">
        <f>IF(F176="","",ROW()-19-COUNTBLANK($F$20:F176))</f>
        <v>135</v>
      </c>
      <c r="B176" s="4" t="s">
        <v>56</v>
      </c>
      <c r="C176" s="4" t="s">
        <v>57</v>
      </c>
      <c r="D176" s="4"/>
      <c r="E176" s="7" t="s">
        <v>2666</v>
      </c>
      <c r="F176" s="7" t="s">
        <v>2667</v>
      </c>
      <c r="G176" s="3" t="s">
        <v>55</v>
      </c>
      <c r="H176" s="3"/>
      <c r="I176" s="3"/>
      <c r="J176" s="3"/>
      <c r="K176" s="3"/>
      <c r="L176" s="3"/>
      <c r="M176" s="3"/>
      <c r="N176" s="3"/>
      <c r="O176" s="3"/>
      <c r="P176" s="3"/>
      <c r="Q176" s="3"/>
    </row>
    <row r="177" spans="1:17" ht="60" customHeight="1" x14ac:dyDescent="0.25">
      <c r="A177" s="9">
        <f>IF(F177="","",ROW()-19-COUNTBLANK($F$20:F177))</f>
        <v>136</v>
      </c>
      <c r="B177" s="4" t="s">
        <v>60</v>
      </c>
      <c r="C177" s="4" t="s">
        <v>61</v>
      </c>
      <c r="D177" s="4"/>
      <c r="E177" s="7" t="s">
        <v>2668</v>
      </c>
      <c r="F177" s="7" t="s">
        <v>63</v>
      </c>
      <c r="G177" s="3" t="s">
        <v>55</v>
      </c>
      <c r="H177" s="3"/>
      <c r="I177" s="3"/>
      <c r="J177" s="3"/>
      <c r="K177" s="3"/>
      <c r="L177" s="3"/>
      <c r="M177" s="3"/>
      <c r="N177" s="3"/>
      <c r="O177" s="3"/>
      <c r="P177" s="3"/>
      <c r="Q177" s="3"/>
    </row>
    <row r="178" spans="1:17" ht="60" customHeight="1" x14ac:dyDescent="0.25">
      <c r="A178" s="9">
        <f>IF(F178="","",ROW()-19-COUNTBLANK($F$20:F178))</f>
        <v>137</v>
      </c>
      <c r="B178" s="4" t="s">
        <v>64</v>
      </c>
      <c r="C178" s="4" t="s">
        <v>65</v>
      </c>
      <c r="D178" s="4"/>
      <c r="E178" s="7" t="s">
        <v>2669</v>
      </c>
      <c r="F178" s="7" t="s">
        <v>2670</v>
      </c>
      <c r="G178" s="3" t="s">
        <v>55</v>
      </c>
      <c r="H178" s="3"/>
      <c r="I178" s="3"/>
      <c r="J178" s="3"/>
      <c r="K178" s="3"/>
      <c r="L178" s="3"/>
      <c r="M178" s="3"/>
      <c r="N178" s="3"/>
      <c r="O178" s="3"/>
      <c r="P178" s="3"/>
      <c r="Q178" s="3"/>
    </row>
    <row r="179" spans="1:17" ht="60" customHeight="1" x14ac:dyDescent="0.25">
      <c r="A179" s="9">
        <f>IF(F179="","",ROW()-19-COUNTBLANK($F$20:F179))</f>
        <v>138</v>
      </c>
      <c r="B179" s="4" t="s">
        <v>68</v>
      </c>
      <c r="C179" s="4" t="s">
        <v>69</v>
      </c>
      <c r="D179" s="4" t="s">
        <v>70</v>
      </c>
      <c r="E179" s="7" t="s">
        <v>2671</v>
      </c>
      <c r="F179" s="7" t="s">
        <v>72</v>
      </c>
      <c r="G179" s="3" t="s">
        <v>73</v>
      </c>
      <c r="H179" s="3"/>
      <c r="I179" s="3"/>
      <c r="J179" s="3"/>
      <c r="K179" s="3"/>
      <c r="L179" s="3"/>
      <c r="M179" s="3"/>
      <c r="N179" s="3"/>
      <c r="O179" s="3"/>
      <c r="P179" s="3"/>
      <c r="Q179" s="3"/>
    </row>
    <row r="180" spans="1:17" ht="60" customHeight="1" x14ac:dyDescent="0.25">
      <c r="A180" s="9">
        <f>IF(F180="","",ROW()-19-COUNTBLANK($F$20:F180))</f>
        <v>139</v>
      </c>
      <c r="B180" s="4" t="s">
        <v>2515</v>
      </c>
      <c r="C180" s="4" t="s">
        <v>2672</v>
      </c>
      <c r="D180" s="4"/>
      <c r="E180" s="7" t="s">
        <v>2673</v>
      </c>
      <c r="F180" s="7" t="s">
        <v>2674</v>
      </c>
      <c r="G180" s="3" t="s">
        <v>50</v>
      </c>
      <c r="H180" s="3"/>
      <c r="I180" s="3"/>
      <c r="J180" s="3"/>
      <c r="K180" s="3"/>
      <c r="L180" s="3"/>
      <c r="M180" s="3"/>
      <c r="N180" s="3"/>
      <c r="O180" s="3"/>
      <c r="P180" s="3"/>
      <c r="Q180" s="3"/>
    </row>
    <row r="181" spans="1:17" ht="20.100000000000001" customHeight="1" x14ac:dyDescent="0.25">
      <c r="A181" s="9" t="str">
        <f>IF(F181="","",ROW()-19-COUNTBLANK($F$20:F181))</f>
        <v/>
      </c>
      <c r="B181" s="12" t="s">
        <v>2675</v>
      </c>
      <c r="C181" s="12"/>
      <c r="D181" s="12"/>
      <c r="E181" s="12"/>
      <c r="F181" s="12"/>
      <c r="G181" s="12"/>
      <c r="H181" s="12"/>
      <c r="I181" s="12"/>
      <c r="J181" s="12"/>
      <c r="K181" s="12"/>
      <c r="L181" s="12"/>
      <c r="M181" s="12"/>
      <c r="N181" s="12"/>
      <c r="O181" s="12"/>
      <c r="P181" s="12"/>
      <c r="Q181" s="12"/>
    </row>
    <row r="182" spans="1:17" ht="60" customHeight="1" x14ac:dyDescent="0.25">
      <c r="A182" s="9">
        <f>IF(F182="","",ROW()-19-COUNTBLANK($F$20:F182))</f>
        <v>140</v>
      </c>
      <c r="B182" s="4" t="s">
        <v>216</v>
      </c>
      <c r="C182" s="4" t="s">
        <v>2520</v>
      </c>
      <c r="D182" s="4"/>
      <c r="E182" s="7" t="s">
        <v>2676</v>
      </c>
      <c r="F182" s="7" t="s">
        <v>2522</v>
      </c>
      <c r="G182" s="3" t="s">
        <v>55</v>
      </c>
      <c r="H182" s="3"/>
      <c r="I182" s="3"/>
      <c r="J182" s="3"/>
      <c r="K182" s="3"/>
      <c r="L182" s="3"/>
      <c r="M182" s="3"/>
      <c r="N182" s="3"/>
      <c r="O182" s="3"/>
      <c r="P182" s="3"/>
      <c r="Q182" s="3"/>
    </row>
    <row r="183" spans="1:17" ht="60" customHeight="1" x14ac:dyDescent="0.25">
      <c r="A183" s="9">
        <f>IF(F183="","",ROW()-19-COUNTBLANK($F$20:F183))</f>
        <v>141</v>
      </c>
      <c r="B183" s="4" t="s">
        <v>132</v>
      </c>
      <c r="C183" s="4" t="s">
        <v>2523</v>
      </c>
      <c r="D183" s="4"/>
      <c r="E183" s="7" t="s">
        <v>2676</v>
      </c>
      <c r="F183" s="7" t="s">
        <v>2524</v>
      </c>
      <c r="G183" s="3" t="s">
        <v>55</v>
      </c>
      <c r="H183" s="3"/>
      <c r="I183" s="3"/>
      <c r="J183" s="3"/>
      <c r="K183" s="3"/>
      <c r="L183" s="3"/>
      <c r="M183" s="3"/>
      <c r="N183" s="3"/>
      <c r="O183" s="3"/>
      <c r="P183" s="3"/>
      <c r="Q183" s="3"/>
    </row>
    <row r="184" spans="1:17" ht="60" customHeight="1" x14ac:dyDescent="0.25">
      <c r="A184" s="9">
        <f>IF(F184="","",ROW()-19-COUNTBLANK($F$20:F184))</f>
        <v>142</v>
      </c>
      <c r="B184" s="4" t="s">
        <v>465</v>
      </c>
      <c r="C184" s="4" t="s">
        <v>2525</v>
      </c>
      <c r="D184" s="4"/>
      <c r="E184" s="7" t="s">
        <v>2676</v>
      </c>
      <c r="F184" s="7" t="s">
        <v>2526</v>
      </c>
      <c r="G184" s="3" t="s">
        <v>73</v>
      </c>
      <c r="H184" s="3"/>
      <c r="I184" s="3"/>
      <c r="J184" s="3"/>
      <c r="K184" s="3"/>
      <c r="L184" s="3"/>
      <c r="M184" s="3"/>
      <c r="N184" s="3"/>
      <c r="O184" s="3"/>
      <c r="P184" s="3"/>
      <c r="Q184" s="3"/>
    </row>
    <row r="185" spans="1:17" ht="60" customHeight="1" x14ac:dyDescent="0.25">
      <c r="A185" s="9">
        <f>IF(F185="","",ROW()-19-COUNTBLANK($F$20:F185))</f>
        <v>143</v>
      </c>
      <c r="B185" s="4" t="s">
        <v>469</v>
      </c>
      <c r="C185" s="4" t="s">
        <v>2527</v>
      </c>
      <c r="D185" s="4" t="s">
        <v>2528</v>
      </c>
      <c r="E185" s="7" t="s">
        <v>2677</v>
      </c>
      <c r="F185" s="7" t="s">
        <v>2530</v>
      </c>
      <c r="G185" s="3" t="s">
        <v>50</v>
      </c>
      <c r="H185" s="3"/>
      <c r="I185" s="3"/>
      <c r="J185" s="3"/>
      <c r="K185" s="3"/>
      <c r="L185" s="3"/>
      <c r="M185" s="3"/>
      <c r="N185" s="3"/>
      <c r="O185" s="3"/>
      <c r="P185" s="3"/>
      <c r="Q185" s="3"/>
    </row>
    <row r="186" spans="1:17" ht="60" customHeight="1" x14ac:dyDescent="0.25">
      <c r="A186" s="9">
        <f>IF(F186="","",ROW()-19-COUNTBLANK($F$20:F186))</f>
        <v>144</v>
      </c>
      <c r="B186" s="17" t="s">
        <v>150</v>
      </c>
      <c r="C186" s="17" t="s">
        <v>162</v>
      </c>
      <c r="D186" s="4" t="s">
        <v>2531</v>
      </c>
      <c r="E186" s="7" t="s">
        <v>2678</v>
      </c>
      <c r="F186" s="7" t="s">
        <v>2533</v>
      </c>
      <c r="G186" s="3" t="s">
        <v>50</v>
      </c>
      <c r="H186" s="3"/>
      <c r="I186" s="3"/>
      <c r="J186" s="3"/>
      <c r="K186" s="3"/>
      <c r="L186" s="3"/>
      <c r="M186" s="3"/>
      <c r="N186" s="3"/>
      <c r="O186" s="3"/>
      <c r="P186" s="3"/>
      <c r="Q186" s="3"/>
    </row>
    <row r="187" spans="1:17" ht="60" customHeight="1" x14ac:dyDescent="0.25">
      <c r="A187" s="9">
        <f>IF(F187="","",ROW()-19-COUNTBLANK($F$20:F187))</f>
        <v>145</v>
      </c>
      <c r="B187" s="18"/>
      <c r="C187" s="18"/>
      <c r="D187" s="4" t="s">
        <v>2534</v>
      </c>
      <c r="E187" s="7" t="s">
        <v>2679</v>
      </c>
      <c r="F187" s="7" t="s">
        <v>2536</v>
      </c>
      <c r="G187" s="3" t="s">
        <v>50</v>
      </c>
      <c r="H187" s="3"/>
      <c r="I187" s="3"/>
      <c r="J187" s="3"/>
      <c r="K187" s="3"/>
      <c r="L187" s="3"/>
      <c r="M187" s="3"/>
      <c r="N187" s="3"/>
      <c r="O187" s="3"/>
      <c r="P187" s="3"/>
      <c r="Q187" s="3"/>
    </row>
    <row r="188" spans="1:17" ht="60" customHeight="1" x14ac:dyDescent="0.25">
      <c r="A188" s="9">
        <f>IF(F188="","",ROW()-19-COUNTBLANK($F$20:F188))</f>
        <v>146</v>
      </c>
      <c r="B188" s="18"/>
      <c r="C188" s="19"/>
      <c r="D188" s="4" t="s">
        <v>2537</v>
      </c>
      <c r="E188" s="7" t="s">
        <v>2680</v>
      </c>
      <c r="F188" s="7" t="s">
        <v>2539</v>
      </c>
      <c r="G188" s="3" t="s">
        <v>50</v>
      </c>
      <c r="H188" s="3"/>
      <c r="I188" s="3"/>
      <c r="J188" s="3"/>
      <c r="K188" s="3"/>
      <c r="L188" s="3"/>
      <c r="M188" s="3"/>
      <c r="N188" s="3"/>
      <c r="O188" s="3"/>
      <c r="P188" s="3"/>
      <c r="Q188" s="3"/>
    </row>
    <row r="189" spans="1:17" ht="60" customHeight="1" x14ac:dyDescent="0.25">
      <c r="A189" s="9">
        <f>IF(F189="","",ROW()-19-COUNTBLANK($F$20:F189))</f>
        <v>147</v>
      </c>
      <c r="B189" s="18"/>
      <c r="C189" s="17" t="s">
        <v>151</v>
      </c>
      <c r="D189" s="4" t="s">
        <v>2540</v>
      </c>
      <c r="E189" s="7" t="s">
        <v>2681</v>
      </c>
      <c r="F189" s="7" t="s">
        <v>2542</v>
      </c>
      <c r="G189" s="3" t="s">
        <v>50</v>
      </c>
      <c r="H189" s="3"/>
      <c r="I189" s="3"/>
      <c r="J189" s="3"/>
      <c r="K189" s="3"/>
      <c r="L189" s="3"/>
      <c r="M189" s="3"/>
      <c r="N189" s="3"/>
      <c r="O189" s="3"/>
      <c r="P189" s="3"/>
      <c r="Q189" s="3"/>
    </row>
    <row r="190" spans="1:17" ht="60" customHeight="1" x14ac:dyDescent="0.25">
      <c r="A190" s="9">
        <f>IF(F190="","",ROW()-19-COUNTBLANK($F$20:F190))</f>
        <v>148</v>
      </c>
      <c r="B190" s="18"/>
      <c r="C190" s="18"/>
      <c r="D190" s="4" t="s">
        <v>2543</v>
      </c>
      <c r="E190" s="7" t="s">
        <v>2682</v>
      </c>
      <c r="F190" s="7" t="s">
        <v>2545</v>
      </c>
      <c r="G190" s="3" t="s">
        <v>55</v>
      </c>
      <c r="H190" s="3"/>
      <c r="I190" s="3"/>
      <c r="J190" s="3"/>
      <c r="K190" s="3"/>
      <c r="L190" s="3"/>
      <c r="M190" s="3"/>
      <c r="N190" s="3"/>
      <c r="O190" s="3"/>
      <c r="P190" s="3"/>
      <c r="Q190" s="3"/>
    </row>
    <row r="191" spans="1:17" ht="60" customHeight="1" x14ac:dyDescent="0.25">
      <c r="A191" s="9">
        <f>IF(F191="","",ROW()-19-COUNTBLANK($F$20:F191))</f>
        <v>149</v>
      </c>
      <c r="B191" s="18"/>
      <c r="C191" s="18"/>
      <c r="D191" s="4" t="s">
        <v>2546</v>
      </c>
      <c r="E191" s="7" t="s">
        <v>2683</v>
      </c>
      <c r="F191" s="7" t="s">
        <v>2548</v>
      </c>
      <c r="G191" s="3" t="s">
        <v>55</v>
      </c>
      <c r="H191" s="3"/>
      <c r="I191" s="3"/>
      <c r="J191" s="3"/>
      <c r="K191" s="3"/>
      <c r="L191" s="3"/>
      <c r="M191" s="3"/>
      <c r="N191" s="3"/>
      <c r="O191" s="3"/>
      <c r="P191" s="3"/>
      <c r="Q191" s="3"/>
    </row>
    <row r="192" spans="1:17" ht="60" customHeight="1" x14ac:dyDescent="0.25">
      <c r="A192" s="9">
        <f>IF(F192="","",ROW()-19-COUNTBLANK($F$20:F192))</f>
        <v>150</v>
      </c>
      <c r="B192" s="18"/>
      <c r="C192" s="19"/>
      <c r="D192" s="4" t="s">
        <v>2549</v>
      </c>
      <c r="E192" s="7" t="s">
        <v>2684</v>
      </c>
      <c r="F192" s="7" t="s">
        <v>2551</v>
      </c>
      <c r="G192" s="3" t="s">
        <v>55</v>
      </c>
      <c r="H192" s="3"/>
      <c r="I192" s="3"/>
      <c r="J192" s="3"/>
      <c r="K192" s="3"/>
      <c r="L192" s="3"/>
      <c r="M192" s="3"/>
      <c r="N192" s="3"/>
      <c r="O192" s="3"/>
      <c r="P192" s="3"/>
      <c r="Q192" s="3"/>
    </row>
    <row r="193" spans="1:17" ht="60" customHeight="1" x14ac:dyDescent="0.25">
      <c r="A193" s="9">
        <f>IF(F193="","",ROW()-19-COUNTBLANK($F$20:F193))</f>
        <v>151</v>
      </c>
      <c r="B193" s="18"/>
      <c r="C193" s="17" t="s">
        <v>2552</v>
      </c>
      <c r="D193" s="4" t="s">
        <v>2553</v>
      </c>
      <c r="E193" s="7" t="s">
        <v>2685</v>
      </c>
      <c r="F193" s="7" t="s">
        <v>2533</v>
      </c>
      <c r="G193" s="3" t="s">
        <v>55</v>
      </c>
      <c r="H193" s="3"/>
      <c r="I193" s="3"/>
      <c r="J193" s="3"/>
      <c r="K193" s="3"/>
      <c r="L193" s="3"/>
      <c r="M193" s="3"/>
      <c r="N193" s="3"/>
      <c r="O193" s="3"/>
      <c r="P193" s="3"/>
      <c r="Q193" s="3"/>
    </row>
    <row r="194" spans="1:17" ht="60" customHeight="1" x14ac:dyDescent="0.25">
      <c r="A194" s="9">
        <f>IF(F194="","",ROW()-19-COUNTBLANK($F$20:F194))</f>
        <v>152</v>
      </c>
      <c r="B194" s="18"/>
      <c r="C194" s="18"/>
      <c r="D194" s="4" t="s">
        <v>2555</v>
      </c>
      <c r="E194" s="7" t="s">
        <v>2686</v>
      </c>
      <c r="F194" s="7" t="s">
        <v>2533</v>
      </c>
      <c r="G194" s="3" t="s">
        <v>55</v>
      </c>
      <c r="H194" s="3"/>
      <c r="I194" s="3"/>
      <c r="J194" s="3"/>
      <c r="K194" s="3"/>
      <c r="L194" s="3"/>
      <c r="M194" s="3"/>
      <c r="N194" s="3"/>
      <c r="O194" s="3"/>
      <c r="P194" s="3"/>
      <c r="Q194" s="3"/>
    </row>
    <row r="195" spans="1:17" ht="60" customHeight="1" x14ac:dyDescent="0.25">
      <c r="A195" s="9">
        <f>IF(F195="","",ROW()-19-COUNTBLANK($F$20:F195))</f>
        <v>153</v>
      </c>
      <c r="B195" s="18"/>
      <c r="C195" s="18"/>
      <c r="D195" s="4" t="s">
        <v>2557</v>
      </c>
      <c r="E195" s="7" t="s">
        <v>2687</v>
      </c>
      <c r="F195" s="7" t="s">
        <v>2533</v>
      </c>
      <c r="G195" s="3" t="s">
        <v>55</v>
      </c>
      <c r="H195" s="3"/>
      <c r="I195" s="3"/>
      <c r="J195" s="3"/>
      <c r="K195" s="3"/>
      <c r="L195" s="3"/>
      <c r="M195" s="3"/>
      <c r="N195" s="3"/>
      <c r="O195" s="3"/>
      <c r="P195" s="3"/>
      <c r="Q195" s="3"/>
    </row>
    <row r="196" spans="1:17" ht="60" customHeight="1" x14ac:dyDescent="0.25">
      <c r="A196" s="9">
        <f>IF(F196="","",ROW()-19-COUNTBLANK($F$20:F196))</f>
        <v>154</v>
      </c>
      <c r="B196" s="18"/>
      <c r="C196" s="18"/>
      <c r="D196" s="4" t="s">
        <v>2559</v>
      </c>
      <c r="E196" s="7" t="s">
        <v>2688</v>
      </c>
      <c r="F196" s="7" t="s">
        <v>2533</v>
      </c>
      <c r="G196" s="3" t="s">
        <v>55</v>
      </c>
      <c r="H196" s="3"/>
      <c r="I196" s="3"/>
      <c r="J196" s="3"/>
      <c r="K196" s="3"/>
      <c r="L196" s="3"/>
      <c r="M196" s="3"/>
      <c r="N196" s="3"/>
      <c r="O196" s="3"/>
      <c r="P196" s="3"/>
      <c r="Q196" s="3"/>
    </row>
    <row r="197" spans="1:17" ht="60" customHeight="1" x14ac:dyDescent="0.25">
      <c r="A197" s="9">
        <f>IF(F197="","",ROW()-19-COUNTBLANK($F$20:F197))</f>
        <v>155</v>
      </c>
      <c r="B197" s="18"/>
      <c r="C197" s="18"/>
      <c r="D197" s="4" t="s">
        <v>2561</v>
      </c>
      <c r="E197" s="7" t="s">
        <v>2689</v>
      </c>
      <c r="F197" s="7" t="s">
        <v>2533</v>
      </c>
      <c r="G197" s="3" t="s">
        <v>55</v>
      </c>
      <c r="H197" s="3"/>
      <c r="I197" s="3"/>
      <c r="J197" s="3"/>
      <c r="K197" s="3"/>
      <c r="L197" s="3"/>
      <c r="M197" s="3"/>
      <c r="N197" s="3"/>
      <c r="O197" s="3"/>
      <c r="P197" s="3"/>
      <c r="Q197" s="3"/>
    </row>
    <row r="198" spans="1:17" ht="60" customHeight="1" x14ac:dyDescent="0.25">
      <c r="A198" s="9">
        <f>IF(F198="","",ROW()-19-COUNTBLANK($F$20:F198))</f>
        <v>156</v>
      </c>
      <c r="B198" s="18"/>
      <c r="C198" s="19"/>
      <c r="D198" s="4" t="s">
        <v>2563</v>
      </c>
      <c r="E198" s="7" t="s">
        <v>2690</v>
      </c>
      <c r="F198" s="7" t="s">
        <v>2533</v>
      </c>
      <c r="G198" s="3" t="s">
        <v>55</v>
      </c>
      <c r="H198" s="3"/>
      <c r="I198" s="3"/>
      <c r="J198" s="3"/>
      <c r="K198" s="3"/>
      <c r="L198" s="3"/>
      <c r="M198" s="3"/>
      <c r="N198" s="3"/>
      <c r="O198" s="3"/>
      <c r="P198" s="3"/>
      <c r="Q198" s="3"/>
    </row>
    <row r="199" spans="1:17" ht="60" customHeight="1" x14ac:dyDescent="0.25">
      <c r="A199" s="9">
        <f>IF(F199="","",ROW()-19-COUNTBLANK($F$20:F199))</f>
        <v>157</v>
      </c>
      <c r="B199" s="18"/>
      <c r="C199" s="17" t="s">
        <v>2565</v>
      </c>
      <c r="D199" s="4" t="s">
        <v>2566</v>
      </c>
      <c r="E199" s="7" t="s">
        <v>2691</v>
      </c>
      <c r="F199" s="7" t="s">
        <v>2568</v>
      </c>
      <c r="G199" s="3" t="s">
        <v>50</v>
      </c>
      <c r="H199" s="3"/>
      <c r="I199" s="3"/>
      <c r="J199" s="3"/>
      <c r="K199" s="3"/>
      <c r="L199" s="3"/>
      <c r="M199" s="3"/>
      <c r="N199" s="3"/>
      <c r="O199" s="3"/>
      <c r="P199" s="3"/>
      <c r="Q199" s="3"/>
    </row>
    <row r="200" spans="1:17" ht="60" customHeight="1" x14ac:dyDescent="0.25">
      <c r="A200" s="9">
        <f>IF(F200="","",ROW()-19-COUNTBLANK($F$20:F200))</f>
        <v>158</v>
      </c>
      <c r="B200" s="18"/>
      <c r="C200" s="18"/>
      <c r="D200" s="4" t="s">
        <v>2569</v>
      </c>
      <c r="E200" s="7" t="s">
        <v>2692</v>
      </c>
      <c r="F200" s="7" t="s">
        <v>2571</v>
      </c>
      <c r="G200" s="3" t="s">
        <v>50</v>
      </c>
      <c r="H200" s="3"/>
      <c r="I200" s="3"/>
      <c r="J200" s="3"/>
      <c r="K200" s="3"/>
      <c r="L200" s="3"/>
      <c r="M200" s="3"/>
      <c r="N200" s="3"/>
      <c r="O200" s="3"/>
      <c r="P200" s="3"/>
      <c r="Q200" s="3"/>
    </row>
    <row r="201" spans="1:17" ht="60" customHeight="1" x14ac:dyDescent="0.25">
      <c r="A201" s="9">
        <f>IF(F201="","",ROW()-19-COUNTBLANK($F$20:F201))</f>
        <v>159</v>
      </c>
      <c r="B201" s="18"/>
      <c r="C201" s="18"/>
      <c r="D201" s="4" t="s">
        <v>2572</v>
      </c>
      <c r="E201" s="7" t="s">
        <v>2693</v>
      </c>
      <c r="F201" s="7" t="s">
        <v>2574</v>
      </c>
      <c r="G201" s="3" t="s">
        <v>55</v>
      </c>
      <c r="H201" s="3"/>
      <c r="I201" s="3"/>
      <c r="J201" s="3"/>
      <c r="K201" s="3"/>
      <c r="L201" s="3"/>
      <c r="M201" s="3"/>
      <c r="N201" s="3"/>
      <c r="O201" s="3"/>
      <c r="P201" s="3"/>
      <c r="Q201" s="3"/>
    </row>
    <row r="202" spans="1:17" ht="60" customHeight="1" x14ac:dyDescent="0.25">
      <c r="A202" s="9">
        <f>IF(F202="","",ROW()-19-COUNTBLANK($F$20:F202))</f>
        <v>160</v>
      </c>
      <c r="B202" s="19"/>
      <c r="C202" s="19"/>
      <c r="D202" s="4" t="s">
        <v>2575</v>
      </c>
      <c r="E202" s="7" t="s">
        <v>2694</v>
      </c>
      <c r="F202" s="7" t="s">
        <v>2577</v>
      </c>
      <c r="G202" s="3" t="s">
        <v>50</v>
      </c>
      <c r="H202" s="3"/>
      <c r="I202" s="3"/>
      <c r="J202" s="3"/>
      <c r="K202" s="3"/>
      <c r="L202" s="3"/>
      <c r="M202" s="3"/>
      <c r="N202" s="3"/>
      <c r="O202" s="3"/>
      <c r="P202" s="3"/>
      <c r="Q202" s="3"/>
    </row>
    <row r="203" spans="1:17" ht="60" customHeight="1" x14ac:dyDescent="0.25">
      <c r="A203" s="9">
        <f>IF(F203="","",ROW()-19-COUNTBLANK($F$20:F203))</f>
        <v>161</v>
      </c>
      <c r="B203" s="17" t="s">
        <v>186</v>
      </c>
      <c r="C203" s="17" t="s">
        <v>198</v>
      </c>
      <c r="D203" s="4" t="s">
        <v>2531</v>
      </c>
      <c r="E203" s="7" t="s">
        <v>2695</v>
      </c>
      <c r="F203" s="7" t="s">
        <v>2533</v>
      </c>
      <c r="G203" s="3" t="s">
        <v>50</v>
      </c>
      <c r="H203" s="3"/>
      <c r="I203" s="3"/>
      <c r="J203" s="3"/>
      <c r="K203" s="3"/>
      <c r="L203" s="3"/>
      <c r="M203" s="3"/>
      <c r="N203" s="3"/>
      <c r="O203" s="3"/>
      <c r="P203" s="3"/>
      <c r="Q203" s="3"/>
    </row>
    <row r="204" spans="1:17" ht="60" customHeight="1" x14ac:dyDescent="0.25">
      <c r="A204" s="9">
        <f>IF(F204="","",ROW()-19-COUNTBLANK($F$20:F204))</f>
        <v>162</v>
      </c>
      <c r="B204" s="18"/>
      <c r="C204" s="18"/>
      <c r="D204" s="4" t="s">
        <v>2534</v>
      </c>
      <c r="E204" s="7" t="s">
        <v>2696</v>
      </c>
      <c r="F204" s="7" t="s">
        <v>2580</v>
      </c>
      <c r="G204" s="3" t="s">
        <v>50</v>
      </c>
      <c r="H204" s="3"/>
      <c r="I204" s="3"/>
      <c r="J204" s="3"/>
      <c r="K204" s="3"/>
      <c r="L204" s="3"/>
      <c r="M204" s="3"/>
      <c r="N204" s="3"/>
      <c r="O204" s="3"/>
      <c r="P204" s="3"/>
      <c r="Q204" s="3"/>
    </row>
    <row r="205" spans="1:17" ht="60" customHeight="1" x14ac:dyDescent="0.25">
      <c r="A205" s="9">
        <f>IF(F205="","",ROW()-19-COUNTBLANK($F$20:F205))</f>
        <v>163</v>
      </c>
      <c r="B205" s="18"/>
      <c r="C205" s="19"/>
      <c r="D205" s="4" t="s">
        <v>2537</v>
      </c>
      <c r="E205" s="7" t="s">
        <v>2697</v>
      </c>
      <c r="F205" s="7" t="s">
        <v>2582</v>
      </c>
      <c r="G205" s="3" t="s">
        <v>50</v>
      </c>
      <c r="H205" s="3"/>
      <c r="I205" s="3"/>
      <c r="J205" s="3"/>
      <c r="K205" s="3"/>
      <c r="L205" s="3"/>
      <c r="M205" s="3"/>
      <c r="N205" s="3"/>
      <c r="O205" s="3"/>
      <c r="P205" s="3"/>
      <c r="Q205" s="3"/>
    </row>
    <row r="206" spans="1:17" ht="60" customHeight="1" x14ac:dyDescent="0.25">
      <c r="A206" s="9">
        <f>IF(F206="","",ROW()-19-COUNTBLANK($F$20:F206))</f>
        <v>164</v>
      </c>
      <c r="B206" s="18"/>
      <c r="C206" s="17" t="s">
        <v>187</v>
      </c>
      <c r="D206" s="4" t="s">
        <v>2583</v>
      </c>
      <c r="E206" s="7" t="s">
        <v>2698</v>
      </c>
      <c r="F206" s="7" t="s">
        <v>2585</v>
      </c>
      <c r="G206" s="3" t="s">
        <v>50</v>
      </c>
      <c r="H206" s="3"/>
      <c r="I206" s="3"/>
      <c r="J206" s="3"/>
      <c r="K206" s="3"/>
      <c r="L206" s="3"/>
      <c r="M206" s="3"/>
      <c r="N206" s="3"/>
      <c r="O206" s="3"/>
      <c r="P206" s="3"/>
      <c r="Q206" s="3"/>
    </row>
    <row r="207" spans="1:17" ht="60" customHeight="1" x14ac:dyDescent="0.25">
      <c r="A207" s="9">
        <f>IF(F207="","",ROW()-19-COUNTBLANK($F$20:F207))</f>
        <v>165</v>
      </c>
      <c r="B207" s="18"/>
      <c r="C207" s="18"/>
      <c r="D207" s="4" t="s">
        <v>2586</v>
      </c>
      <c r="E207" s="7" t="s">
        <v>2699</v>
      </c>
      <c r="F207" s="7" t="s">
        <v>2588</v>
      </c>
      <c r="G207" s="3" t="s">
        <v>55</v>
      </c>
      <c r="H207" s="3"/>
      <c r="I207" s="3"/>
      <c r="J207" s="3"/>
      <c r="K207" s="3"/>
      <c r="L207" s="3"/>
      <c r="M207" s="3"/>
      <c r="N207" s="3"/>
      <c r="O207" s="3"/>
      <c r="P207" s="3"/>
      <c r="Q207" s="3"/>
    </row>
    <row r="208" spans="1:17" ht="60" customHeight="1" x14ac:dyDescent="0.25">
      <c r="A208" s="9">
        <f>IF(F208="","",ROW()-19-COUNTBLANK($F$20:F208))</f>
        <v>166</v>
      </c>
      <c r="B208" s="18"/>
      <c r="C208" s="18"/>
      <c r="D208" s="4" t="s">
        <v>2589</v>
      </c>
      <c r="E208" s="7" t="s">
        <v>2700</v>
      </c>
      <c r="F208" s="7" t="s">
        <v>2591</v>
      </c>
      <c r="G208" s="3" t="s">
        <v>55</v>
      </c>
      <c r="H208" s="3"/>
      <c r="I208" s="3"/>
      <c r="J208" s="3"/>
      <c r="K208" s="3"/>
      <c r="L208" s="3"/>
      <c r="M208" s="3"/>
      <c r="N208" s="3"/>
      <c r="O208" s="3"/>
      <c r="P208" s="3"/>
      <c r="Q208" s="3"/>
    </row>
    <row r="209" spans="1:17" ht="60" customHeight="1" x14ac:dyDescent="0.25">
      <c r="A209" s="9">
        <f>IF(F209="","",ROW()-19-COUNTBLANK($F$20:F209))</f>
        <v>167</v>
      </c>
      <c r="B209" s="18"/>
      <c r="C209" s="19"/>
      <c r="D209" s="4" t="s">
        <v>2592</v>
      </c>
      <c r="E209" s="7" t="s">
        <v>2701</v>
      </c>
      <c r="F209" s="7" t="s">
        <v>2591</v>
      </c>
      <c r="G209" s="3" t="s">
        <v>55</v>
      </c>
      <c r="H209" s="3"/>
      <c r="I209" s="3"/>
      <c r="J209" s="3"/>
      <c r="K209" s="3"/>
      <c r="L209" s="3"/>
      <c r="M209" s="3"/>
      <c r="N209" s="3"/>
      <c r="O209" s="3"/>
      <c r="P209" s="3"/>
      <c r="Q209" s="3"/>
    </row>
    <row r="210" spans="1:17" ht="60" customHeight="1" x14ac:dyDescent="0.25">
      <c r="A210" s="9">
        <f>IF(F210="","",ROW()-19-COUNTBLANK($F$20:F210))</f>
        <v>168</v>
      </c>
      <c r="B210" s="18"/>
      <c r="C210" s="17" t="s">
        <v>2594</v>
      </c>
      <c r="D210" s="4" t="s">
        <v>2595</v>
      </c>
      <c r="E210" s="7" t="s">
        <v>2702</v>
      </c>
      <c r="F210" s="7" t="s">
        <v>2533</v>
      </c>
      <c r="G210" s="3" t="s">
        <v>55</v>
      </c>
      <c r="H210" s="3"/>
      <c r="I210" s="3"/>
      <c r="J210" s="3"/>
      <c r="K210" s="3"/>
      <c r="L210" s="3"/>
      <c r="M210" s="3"/>
      <c r="N210" s="3"/>
      <c r="O210" s="3"/>
      <c r="P210" s="3"/>
      <c r="Q210" s="3"/>
    </row>
    <row r="211" spans="1:17" ht="60" customHeight="1" x14ac:dyDescent="0.25">
      <c r="A211" s="9">
        <f>IF(F211="","",ROW()-19-COUNTBLANK($F$20:F211))</f>
        <v>169</v>
      </c>
      <c r="B211" s="18"/>
      <c r="C211" s="18"/>
      <c r="D211" s="4" t="s">
        <v>2597</v>
      </c>
      <c r="E211" s="7" t="s">
        <v>2703</v>
      </c>
      <c r="F211" s="7" t="s">
        <v>2533</v>
      </c>
      <c r="G211" s="3" t="s">
        <v>55</v>
      </c>
      <c r="H211" s="3"/>
      <c r="I211" s="3"/>
      <c r="J211" s="3"/>
      <c r="K211" s="3"/>
      <c r="L211" s="3"/>
      <c r="M211" s="3"/>
      <c r="N211" s="3"/>
      <c r="O211" s="3"/>
      <c r="P211" s="3"/>
      <c r="Q211" s="3"/>
    </row>
    <row r="212" spans="1:17" ht="60" customHeight="1" x14ac:dyDescent="0.25">
      <c r="A212" s="9">
        <f>IF(F212="","",ROW()-19-COUNTBLANK($F$20:F212))</f>
        <v>170</v>
      </c>
      <c r="B212" s="18"/>
      <c r="C212" s="18"/>
      <c r="D212" s="4" t="s">
        <v>2599</v>
      </c>
      <c r="E212" s="7" t="s">
        <v>2704</v>
      </c>
      <c r="F212" s="7" t="s">
        <v>2533</v>
      </c>
      <c r="G212" s="3" t="s">
        <v>55</v>
      </c>
      <c r="H212" s="3"/>
      <c r="I212" s="3"/>
      <c r="J212" s="3"/>
      <c r="K212" s="3"/>
      <c r="L212" s="3"/>
      <c r="M212" s="3"/>
      <c r="N212" s="3"/>
      <c r="O212" s="3"/>
      <c r="P212" s="3"/>
      <c r="Q212" s="3"/>
    </row>
    <row r="213" spans="1:17" ht="60" customHeight="1" x14ac:dyDescent="0.25">
      <c r="A213" s="9">
        <f>IF(F213="","",ROW()-19-COUNTBLANK($F$20:F213))</f>
        <v>171</v>
      </c>
      <c r="B213" s="18"/>
      <c r="C213" s="18"/>
      <c r="D213" s="4" t="s">
        <v>2601</v>
      </c>
      <c r="E213" s="7" t="s">
        <v>2705</v>
      </c>
      <c r="F213" s="7" t="s">
        <v>2533</v>
      </c>
      <c r="G213" s="3" t="s">
        <v>55</v>
      </c>
      <c r="H213" s="3"/>
      <c r="I213" s="3"/>
      <c r="J213" s="3"/>
      <c r="K213" s="3"/>
      <c r="L213" s="3"/>
      <c r="M213" s="3"/>
      <c r="N213" s="3"/>
      <c r="O213" s="3"/>
      <c r="P213" s="3"/>
      <c r="Q213" s="3"/>
    </row>
    <row r="214" spans="1:17" ht="60" customHeight="1" x14ac:dyDescent="0.25">
      <c r="A214" s="9">
        <f>IF(F214="","",ROW()-19-COUNTBLANK($F$20:F214))</f>
        <v>172</v>
      </c>
      <c r="B214" s="18"/>
      <c r="C214" s="18"/>
      <c r="D214" s="4" t="s">
        <v>2603</v>
      </c>
      <c r="E214" s="7" t="s">
        <v>2706</v>
      </c>
      <c r="F214" s="7" t="s">
        <v>2533</v>
      </c>
      <c r="G214" s="3" t="s">
        <v>55</v>
      </c>
      <c r="H214" s="3"/>
      <c r="I214" s="3"/>
      <c r="J214" s="3"/>
      <c r="K214" s="3"/>
      <c r="L214" s="3"/>
      <c r="M214" s="3"/>
      <c r="N214" s="3"/>
      <c r="O214" s="3"/>
      <c r="P214" s="3"/>
      <c r="Q214" s="3"/>
    </row>
    <row r="215" spans="1:17" ht="60" customHeight="1" x14ac:dyDescent="0.25">
      <c r="A215" s="9">
        <f>IF(F215="","",ROW()-19-COUNTBLANK($F$20:F215))</f>
        <v>173</v>
      </c>
      <c r="B215" s="18"/>
      <c r="C215" s="19"/>
      <c r="D215" s="4" t="s">
        <v>2605</v>
      </c>
      <c r="E215" s="7" t="s">
        <v>2707</v>
      </c>
      <c r="F215" s="7" t="s">
        <v>2533</v>
      </c>
      <c r="G215" s="3" t="s">
        <v>55</v>
      </c>
      <c r="H215" s="3"/>
      <c r="I215" s="3"/>
      <c r="J215" s="3"/>
      <c r="K215" s="3"/>
      <c r="L215" s="3"/>
      <c r="M215" s="3"/>
      <c r="N215" s="3"/>
      <c r="O215" s="3"/>
      <c r="P215" s="3"/>
      <c r="Q215" s="3"/>
    </row>
    <row r="216" spans="1:17" ht="60" customHeight="1" x14ac:dyDescent="0.25">
      <c r="A216" s="9">
        <f>IF(F216="","",ROW()-19-COUNTBLANK($F$20:F216))</f>
        <v>174</v>
      </c>
      <c r="B216" s="18"/>
      <c r="C216" s="17" t="s">
        <v>2607</v>
      </c>
      <c r="D216" s="4" t="s">
        <v>2566</v>
      </c>
      <c r="E216" s="7" t="s">
        <v>2708</v>
      </c>
      <c r="F216" s="7" t="s">
        <v>2609</v>
      </c>
      <c r="G216" s="3" t="s">
        <v>50</v>
      </c>
      <c r="H216" s="3"/>
      <c r="I216" s="3"/>
      <c r="J216" s="3"/>
      <c r="K216" s="3"/>
      <c r="L216" s="3"/>
      <c r="M216" s="3"/>
      <c r="N216" s="3"/>
      <c r="O216" s="3"/>
      <c r="P216" s="3"/>
      <c r="Q216" s="3"/>
    </row>
    <row r="217" spans="1:17" ht="60" customHeight="1" x14ac:dyDescent="0.25">
      <c r="A217" s="9">
        <f>IF(F217="","",ROW()-19-COUNTBLANK($F$20:F217))</f>
        <v>175</v>
      </c>
      <c r="B217" s="18"/>
      <c r="C217" s="18"/>
      <c r="D217" s="4" t="s">
        <v>2610</v>
      </c>
      <c r="E217" s="7" t="s">
        <v>2709</v>
      </c>
      <c r="F217" s="7" t="s">
        <v>2612</v>
      </c>
      <c r="G217" s="3" t="s">
        <v>50</v>
      </c>
      <c r="H217" s="3"/>
      <c r="I217" s="3"/>
      <c r="J217" s="3"/>
      <c r="K217" s="3"/>
      <c r="L217" s="3"/>
      <c r="M217" s="3"/>
      <c r="N217" s="3"/>
      <c r="O217" s="3"/>
      <c r="P217" s="3"/>
      <c r="Q217" s="3"/>
    </row>
    <row r="218" spans="1:17" ht="60" customHeight="1" x14ac:dyDescent="0.25">
      <c r="A218" s="9">
        <f>IF(F218="","",ROW()-19-COUNTBLANK($F$20:F218))</f>
        <v>176</v>
      </c>
      <c r="B218" s="18"/>
      <c r="C218" s="18"/>
      <c r="D218" s="4" t="s">
        <v>2613</v>
      </c>
      <c r="E218" s="7" t="s">
        <v>2710</v>
      </c>
      <c r="F218" s="7" t="s">
        <v>2615</v>
      </c>
      <c r="G218" s="3" t="s">
        <v>55</v>
      </c>
      <c r="H218" s="3"/>
      <c r="I218" s="3"/>
      <c r="J218" s="3"/>
      <c r="K218" s="3"/>
      <c r="L218" s="3"/>
      <c r="M218" s="3"/>
      <c r="N218" s="3"/>
      <c r="O218" s="3"/>
      <c r="P218" s="3"/>
      <c r="Q218" s="3"/>
    </row>
    <row r="219" spans="1:17" ht="60" customHeight="1" x14ac:dyDescent="0.25">
      <c r="A219" s="9">
        <f>IF(F219="","",ROW()-19-COUNTBLANK($F$20:F219))</f>
        <v>177</v>
      </c>
      <c r="B219" s="19"/>
      <c r="C219" s="19"/>
      <c r="D219" s="4" t="s">
        <v>2616</v>
      </c>
      <c r="E219" s="7" t="s">
        <v>2711</v>
      </c>
      <c r="F219" s="7" t="s">
        <v>2618</v>
      </c>
      <c r="G219" s="3" t="s">
        <v>50</v>
      </c>
      <c r="H219" s="3"/>
      <c r="I219" s="3"/>
      <c r="J219" s="3"/>
      <c r="K219" s="3"/>
      <c r="L219" s="3"/>
      <c r="M219" s="3"/>
      <c r="N219" s="3"/>
      <c r="O219" s="3"/>
      <c r="P219" s="3"/>
      <c r="Q219" s="3"/>
    </row>
    <row r="220" spans="1:17" ht="60" customHeight="1" x14ac:dyDescent="0.25">
      <c r="A220" s="9">
        <f>IF(F220="","",ROW()-19-COUNTBLANK($F$20:F220))</f>
        <v>178</v>
      </c>
      <c r="B220" s="4" t="s">
        <v>2619</v>
      </c>
      <c r="C220" s="4" t="s">
        <v>2620</v>
      </c>
      <c r="D220" s="4" t="s">
        <v>2621</v>
      </c>
      <c r="E220" s="7" t="s">
        <v>2712</v>
      </c>
      <c r="F220" s="7" t="s">
        <v>2623</v>
      </c>
      <c r="G220" s="3" t="s">
        <v>55</v>
      </c>
      <c r="H220" s="3"/>
      <c r="I220" s="3"/>
      <c r="J220" s="3"/>
      <c r="K220" s="3"/>
      <c r="L220" s="3"/>
      <c r="M220" s="3"/>
      <c r="N220" s="3"/>
      <c r="O220" s="3"/>
      <c r="P220" s="3"/>
      <c r="Q220" s="3"/>
    </row>
    <row r="221" spans="1:17" ht="60" customHeight="1" x14ac:dyDescent="0.25">
      <c r="A221" s="9">
        <f>IF(F221="","",ROW()-19-COUNTBLANK($F$20:F221))</f>
        <v>179</v>
      </c>
      <c r="B221" s="4" t="s">
        <v>2624</v>
      </c>
      <c r="C221" s="4" t="s">
        <v>2625</v>
      </c>
      <c r="D221" s="4" t="s">
        <v>2626</v>
      </c>
      <c r="E221" s="7" t="s">
        <v>2713</v>
      </c>
      <c r="F221" s="7" t="s">
        <v>2628</v>
      </c>
      <c r="G221" s="3" t="s">
        <v>55</v>
      </c>
      <c r="H221" s="3"/>
      <c r="I221" s="3"/>
      <c r="J221" s="3"/>
      <c r="K221" s="3"/>
      <c r="L221" s="3"/>
      <c r="M221" s="3"/>
      <c r="N221" s="3"/>
      <c r="O221" s="3"/>
      <c r="P221" s="3"/>
      <c r="Q221" s="3"/>
    </row>
    <row r="222" spans="1:17" ht="60" customHeight="1" x14ac:dyDescent="0.25">
      <c r="A222" s="9">
        <f>IF(F222="","",ROW()-19-COUNTBLANK($F$20:F222))</f>
        <v>180</v>
      </c>
      <c r="B222" s="4" t="s">
        <v>2629</v>
      </c>
      <c r="C222" s="4" t="s">
        <v>2630</v>
      </c>
      <c r="D222" s="4" t="s">
        <v>2631</v>
      </c>
      <c r="E222" s="7" t="s">
        <v>2714</v>
      </c>
      <c r="F222" s="7" t="s">
        <v>2633</v>
      </c>
      <c r="G222" s="3" t="s">
        <v>73</v>
      </c>
      <c r="H222" s="3"/>
      <c r="I222" s="3"/>
      <c r="J222" s="3"/>
      <c r="K222" s="3"/>
      <c r="L222" s="3"/>
      <c r="M222" s="3"/>
      <c r="N222" s="3"/>
      <c r="O222" s="3"/>
      <c r="P222" s="3"/>
      <c r="Q222" s="3"/>
    </row>
    <row r="223" spans="1:17" ht="20.100000000000001" customHeight="1" x14ac:dyDescent="0.25">
      <c r="A223" s="9" t="str">
        <f>IF(F223="","",ROW()-19-COUNTBLANK($F$20:F223))</f>
        <v/>
      </c>
      <c r="B223" s="12" t="s">
        <v>2715</v>
      </c>
      <c r="C223" s="12"/>
      <c r="D223" s="12"/>
      <c r="E223" s="12"/>
      <c r="F223" s="12"/>
      <c r="G223" s="12"/>
      <c r="H223" s="12"/>
      <c r="I223" s="12"/>
      <c r="J223" s="12"/>
      <c r="K223" s="12"/>
      <c r="L223" s="12"/>
      <c r="M223" s="12"/>
      <c r="N223" s="12"/>
      <c r="O223" s="12"/>
      <c r="P223" s="12"/>
      <c r="Q223" s="12"/>
    </row>
    <row r="224" spans="1:17" ht="60" customHeight="1" x14ac:dyDescent="0.25">
      <c r="A224" s="9">
        <f>IF(F224="","",ROW()-19-COUNTBLANK($F$20:F224))</f>
        <v>181</v>
      </c>
      <c r="B224" s="4" t="s">
        <v>2635</v>
      </c>
      <c r="C224" s="4" t="s">
        <v>2487</v>
      </c>
      <c r="D224" s="4"/>
      <c r="E224" s="7" t="s">
        <v>2716</v>
      </c>
      <c r="F224" s="7" t="s">
        <v>2717</v>
      </c>
      <c r="G224" s="3" t="s">
        <v>55</v>
      </c>
      <c r="H224" s="3"/>
      <c r="I224" s="3"/>
      <c r="J224" s="3"/>
      <c r="K224" s="3"/>
      <c r="L224" s="3"/>
      <c r="M224" s="3"/>
      <c r="N224" s="3"/>
      <c r="O224" s="3"/>
      <c r="P224" s="3"/>
      <c r="Q224" s="3"/>
    </row>
    <row r="225" spans="1:17" ht="60" customHeight="1" x14ac:dyDescent="0.25">
      <c r="A225" s="9">
        <f>IF(F225="","",ROW()-19-COUNTBLANK($F$20:F225))</f>
        <v>182</v>
      </c>
      <c r="B225" s="4" t="s">
        <v>2638</v>
      </c>
      <c r="C225" s="4" t="s">
        <v>2490</v>
      </c>
      <c r="D225" s="4"/>
      <c r="E225" s="7" t="s">
        <v>2718</v>
      </c>
      <c r="F225" s="7" t="s">
        <v>2640</v>
      </c>
      <c r="G225" s="3" t="s">
        <v>55</v>
      </c>
      <c r="H225" s="3"/>
      <c r="I225" s="3"/>
      <c r="J225" s="3"/>
      <c r="K225" s="3"/>
      <c r="L225" s="3"/>
      <c r="M225" s="3"/>
      <c r="N225" s="3"/>
      <c r="O225" s="3"/>
      <c r="P225" s="3"/>
      <c r="Q225" s="3"/>
    </row>
    <row r="226" spans="1:17" ht="60" customHeight="1" x14ac:dyDescent="0.25">
      <c r="A226" s="9">
        <f>IF(F226="","",ROW()-19-COUNTBLANK($F$20:F226))</f>
        <v>183</v>
      </c>
      <c r="B226" s="4" t="s">
        <v>2641</v>
      </c>
      <c r="C226" s="4" t="s">
        <v>2492</v>
      </c>
      <c r="D226" s="4" t="s">
        <v>2642</v>
      </c>
      <c r="E226" s="7" t="s">
        <v>2719</v>
      </c>
      <c r="F226" s="7" t="s">
        <v>2720</v>
      </c>
      <c r="G226" s="3" t="s">
        <v>50</v>
      </c>
      <c r="H226" s="3"/>
      <c r="I226" s="3"/>
      <c r="J226" s="3"/>
      <c r="K226" s="3"/>
      <c r="L226" s="3"/>
      <c r="M226" s="3"/>
      <c r="N226" s="3"/>
      <c r="O226" s="3"/>
      <c r="P226" s="3"/>
      <c r="Q226" s="3"/>
    </row>
    <row r="227" spans="1:17" ht="20.100000000000001" customHeight="1" x14ac:dyDescent="0.25">
      <c r="A227" s="9" t="str">
        <f>IF(F227="","",ROW()-19-COUNTBLANK($F$20:F227))</f>
        <v/>
      </c>
      <c r="B227" s="12" t="s">
        <v>2721</v>
      </c>
      <c r="C227" s="12"/>
      <c r="D227" s="12"/>
      <c r="E227" s="12"/>
      <c r="F227" s="12"/>
      <c r="G227" s="12"/>
      <c r="H227" s="12"/>
      <c r="I227" s="12"/>
      <c r="J227" s="12"/>
      <c r="K227" s="12"/>
      <c r="L227" s="12"/>
      <c r="M227" s="12"/>
      <c r="N227" s="12"/>
      <c r="O227" s="12"/>
      <c r="P227" s="12"/>
      <c r="Q227" s="12"/>
    </row>
    <row r="228" spans="1:17" ht="60" customHeight="1" x14ac:dyDescent="0.25">
      <c r="A228" s="9">
        <f>IF(F228="","",ROW()-19-COUNTBLANK($F$20:F228))</f>
        <v>184</v>
      </c>
      <c r="B228" s="4" t="s">
        <v>2646</v>
      </c>
      <c r="C228" s="4" t="s">
        <v>2478</v>
      </c>
      <c r="D228" s="4"/>
      <c r="E228" s="7" t="s">
        <v>2722</v>
      </c>
      <c r="F228" s="7" t="s">
        <v>2648</v>
      </c>
      <c r="G228" s="3" t="s">
        <v>55</v>
      </c>
      <c r="H228" s="3"/>
      <c r="I228" s="3"/>
      <c r="J228" s="3"/>
      <c r="K228" s="3"/>
      <c r="L228" s="3"/>
      <c r="M228" s="3"/>
      <c r="N228" s="3"/>
      <c r="O228" s="3"/>
      <c r="P228" s="3"/>
      <c r="Q228" s="3"/>
    </row>
    <row r="229" spans="1:17" ht="60" customHeight="1" x14ac:dyDescent="0.25">
      <c r="A229" s="9">
        <f>IF(F229="","",ROW()-19-COUNTBLANK($F$20:F229))</f>
        <v>185</v>
      </c>
      <c r="B229" s="4" t="s">
        <v>2649</v>
      </c>
      <c r="C229" s="4" t="s">
        <v>2481</v>
      </c>
      <c r="D229" s="4"/>
      <c r="E229" s="7" t="s">
        <v>2722</v>
      </c>
      <c r="F229" s="7" t="s">
        <v>2650</v>
      </c>
      <c r="G229" s="3" t="s">
        <v>55</v>
      </c>
      <c r="H229" s="3"/>
      <c r="I229" s="3"/>
      <c r="J229" s="3"/>
      <c r="K229" s="3"/>
      <c r="L229" s="3"/>
      <c r="M229" s="3"/>
      <c r="N229" s="3"/>
      <c r="O229" s="3"/>
      <c r="P229" s="3"/>
      <c r="Q229" s="3"/>
    </row>
    <row r="230" spans="1:17" ht="60" customHeight="1" x14ac:dyDescent="0.25">
      <c r="A230" s="9">
        <f>IF(F230="","",ROW()-19-COUNTBLANK($F$20:F230))</f>
        <v>186</v>
      </c>
      <c r="B230" s="4" t="s">
        <v>2651</v>
      </c>
      <c r="C230" s="4" t="s">
        <v>2483</v>
      </c>
      <c r="D230" s="4" t="s">
        <v>2652</v>
      </c>
      <c r="E230" s="7" t="s">
        <v>2723</v>
      </c>
      <c r="F230" s="7" t="s">
        <v>2654</v>
      </c>
      <c r="G230" s="3" t="s">
        <v>50</v>
      </c>
      <c r="H230" s="3"/>
      <c r="I230" s="3"/>
      <c r="J230" s="3"/>
      <c r="K230" s="3"/>
      <c r="L230" s="3"/>
      <c r="M230" s="3"/>
      <c r="N230" s="3"/>
      <c r="O230" s="3"/>
      <c r="P230" s="3"/>
      <c r="Q230" s="3"/>
    </row>
    <row r="231" spans="1:17" ht="20.100000000000001" customHeight="1" x14ac:dyDescent="0.25">
      <c r="A231" s="9" t="str">
        <f>IF(F231="","",ROW()-19-COUNTBLANK($F$20:F231))</f>
        <v/>
      </c>
      <c r="B231" s="12" t="s">
        <v>2724</v>
      </c>
      <c r="C231" s="12"/>
      <c r="D231" s="12"/>
      <c r="E231" s="12"/>
      <c r="F231" s="12"/>
      <c r="G231" s="12"/>
      <c r="H231" s="12"/>
      <c r="I231" s="12"/>
      <c r="J231" s="12"/>
      <c r="K231" s="12"/>
      <c r="L231" s="12"/>
      <c r="M231" s="12"/>
      <c r="N231" s="12"/>
      <c r="O231" s="12"/>
      <c r="P231" s="12"/>
      <c r="Q231" s="12"/>
    </row>
    <row r="232" spans="1:17" ht="60" customHeight="1" x14ac:dyDescent="0.25">
      <c r="A232" s="9">
        <f>IF(F232="","",ROW()-19-COUNTBLANK($F$20:F232))</f>
        <v>187</v>
      </c>
      <c r="B232" s="4" t="s">
        <v>311</v>
      </c>
      <c r="C232" s="4" t="s">
        <v>312</v>
      </c>
      <c r="D232" s="4"/>
      <c r="E232" s="7" t="s">
        <v>2725</v>
      </c>
      <c r="F232" s="7" t="s">
        <v>2657</v>
      </c>
      <c r="G232" s="3" t="s">
        <v>73</v>
      </c>
      <c r="H232" s="3"/>
      <c r="I232" s="3"/>
      <c r="J232" s="3"/>
      <c r="K232" s="3"/>
      <c r="L232" s="3"/>
      <c r="M232" s="3"/>
      <c r="N232" s="3"/>
      <c r="O232" s="3"/>
      <c r="P232" s="3"/>
      <c r="Q232" s="3"/>
    </row>
    <row r="233" spans="1:17" ht="60" customHeight="1" x14ac:dyDescent="0.25">
      <c r="A233" s="9">
        <f>IF(F233="","",ROW()-19-COUNTBLANK($F$20:F233))</f>
        <v>188</v>
      </c>
      <c r="B233" s="4" t="s">
        <v>315</v>
      </c>
      <c r="C233" s="4" t="s">
        <v>316</v>
      </c>
      <c r="D233" s="4" t="s">
        <v>2658</v>
      </c>
      <c r="E233" s="7" t="s">
        <v>2726</v>
      </c>
      <c r="F233" s="7" t="s">
        <v>2660</v>
      </c>
      <c r="G233" s="3" t="s">
        <v>55</v>
      </c>
      <c r="H233" s="3"/>
      <c r="I233" s="3"/>
      <c r="J233" s="3"/>
      <c r="K233" s="3"/>
      <c r="L233" s="3"/>
      <c r="M233" s="3"/>
      <c r="N233" s="3"/>
      <c r="O233" s="3"/>
      <c r="P233" s="3"/>
      <c r="Q233" s="3"/>
    </row>
    <row r="234" spans="1:17" ht="20.100000000000001" customHeight="1" x14ac:dyDescent="0.25">
      <c r="A234" s="11"/>
      <c r="B234" s="22" t="s">
        <v>1247</v>
      </c>
      <c r="C234" s="23"/>
      <c r="D234" s="23"/>
      <c r="E234" s="23"/>
      <c r="F234" s="24"/>
      <c r="G234" s="11"/>
      <c r="H234" s="11"/>
      <c r="I234" s="11"/>
      <c r="J234" s="11"/>
      <c r="K234" s="11"/>
      <c r="L234" s="11"/>
      <c r="M234" s="11"/>
      <c r="N234" s="11"/>
      <c r="O234" s="11"/>
      <c r="P234" s="11"/>
      <c r="Q234" s="11"/>
    </row>
    <row r="235" spans="1:17" ht="20.100000000000001" customHeight="1" x14ac:dyDescent="0.25">
      <c r="A235" s="9" t="str">
        <f>IF(F235="","",ROW()-19-COUNTBLANK($F$20:F235))</f>
        <v/>
      </c>
      <c r="B235" s="12" t="s">
        <v>2727</v>
      </c>
      <c r="C235" s="12"/>
      <c r="D235" s="12"/>
      <c r="E235" s="12"/>
      <c r="F235" s="12"/>
      <c r="G235" s="12"/>
      <c r="H235" s="12"/>
      <c r="I235" s="12"/>
      <c r="J235" s="12"/>
      <c r="K235" s="12"/>
      <c r="L235" s="12"/>
      <c r="M235" s="12"/>
      <c r="N235" s="12"/>
      <c r="O235" s="12"/>
      <c r="P235" s="12"/>
      <c r="Q235" s="12"/>
    </row>
    <row r="236" spans="1:17" ht="60" customHeight="1" x14ac:dyDescent="0.25">
      <c r="A236" s="9">
        <f>IF(F236="","",ROW()-19-COUNTBLANK($F$20:F236))</f>
        <v>189</v>
      </c>
      <c r="B236" s="4" t="s">
        <v>2728</v>
      </c>
      <c r="C236" s="4" t="s">
        <v>2729</v>
      </c>
      <c r="D236" s="4" t="s">
        <v>2730</v>
      </c>
      <c r="E236" s="7" t="s">
        <v>2731</v>
      </c>
      <c r="F236" s="7" t="s">
        <v>2732</v>
      </c>
      <c r="G236" s="3" t="s">
        <v>50</v>
      </c>
      <c r="H236" s="3"/>
      <c r="I236" s="3"/>
      <c r="J236" s="3"/>
      <c r="K236" s="3"/>
      <c r="L236" s="3"/>
      <c r="M236" s="3"/>
      <c r="N236" s="3"/>
      <c r="O236" s="3"/>
      <c r="P236" s="3"/>
      <c r="Q236" s="3"/>
    </row>
    <row r="237" spans="1:17" ht="60" customHeight="1" x14ac:dyDescent="0.25">
      <c r="A237" s="9">
        <f>IF(F237="","",ROW()-19-COUNTBLANK($F$20:F237))</f>
        <v>190</v>
      </c>
      <c r="B237" s="4" t="s">
        <v>2733</v>
      </c>
      <c r="C237" s="4" t="s">
        <v>2734</v>
      </c>
      <c r="D237" s="4"/>
      <c r="E237" s="7" t="s">
        <v>2735</v>
      </c>
      <c r="F237" s="7" t="s">
        <v>2736</v>
      </c>
      <c r="G237" s="3" t="s">
        <v>50</v>
      </c>
      <c r="H237" s="3"/>
      <c r="I237" s="3"/>
      <c r="J237" s="3"/>
      <c r="K237" s="3"/>
      <c r="L237" s="3"/>
      <c r="M237" s="3"/>
      <c r="N237" s="3"/>
      <c r="O237" s="3"/>
      <c r="P237" s="3"/>
      <c r="Q237" s="3"/>
    </row>
    <row r="238" spans="1:17" ht="60" customHeight="1" x14ac:dyDescent="0.25">
      <c r="A238" s="9">
        <f>IF(F238="","",ROW()-19-COUNTBLANK($F$20:F238))</f>
        <v>191</v>
      </c>
      <c r="B238" s="4" t="s">
        <v>2737</v>
      </c>
      <c r="C238" s="4" t="s">
        <v>2738</v>
      </c>
      <c r="D238" s="4"/>
      <c r="E238" s="7" t="s">
        <v>2739</v>
      </c>
      <c r="F238" s="7" t="s">
        <v>2740</v>
      </c>
      <c r="G238" s="3" t="s">
        <v>50</v>
      </c>
      <c r="H238" s="3"/>
      <c r="I238" s="3"/>
      <c r="J238" s="3"/>
      <c r="K238" s="3"/>
      <c r="L238" s="3"/>
      <c r="M238" s="3"/>
      <c r="N238" s="3"/>
      <c r="O238" s="3"/>
      <c r="P238" s="3"/>
      <c r="Q238" s="3"/>
    </row>
    <row r="239" spans="1:17" ht="60" customHeight="1" x14ac:dyDescent="0.25">
      <c r="A239" s="9">
        <f>IF(F239="","",ROW()-19-COUNTBLANK($F$20:F239))</f>
        <v>192</v>
      </c>
      <c r="B239" s="4" t="s">
        <v>2741</v>
      </c>
      <c r="C239" s="4" t="s">
        <v>2742</v>
      </c>
      <c r="D239" s="4"/>
      <c r="E239" s="7" t="s">
        <v>2743</v>
      </c>
      <c r="F239" s="7" t="s">
        <v>2744</v>
      </c>
      <c r="G239" s="3" t="s">
        <v>50</v>
      </c>
      <c r="H239" s="3"/>
      <c r="I239" s="3"/>
      <c r="J239" s="3"/>
      <c r="K239" s="3"/>
      <c r="L239" s="3"/>
      <c r="M239" s="3"/>
      <c r="N239" s="3"/>
      <c r="O239" s="3"/>
      <c r="P239" s="3"/>
      <c r="Q239" s="3"/>
    </row>
    <row r="240" spans="1:17" ht="60" customHeight="1" x14ac:dyDescent="0.25">
      <c r="A240" s="9">
        <f>IF(F240="","",ROW()-19-COUNTBLANK($F$20:F240))</f>
        <v>193</v>
      </c>
      <c r="B240" s="17" t="s">
        <v>2745</v>
      </c>
      <c r="C240" s="4" t="s">
        <v>2746</v>
      </c>
      <c r="D240" s="4" t="s">
        <v>2747</v>
      </c>
      <c r="E240" s="7" t="s">
        <v>2748</v>
      </c>
      <c r="F240" s="7" t="s">
        <v>2749</v>
      </c>
      <c r="G240" s="3" t="s">
        <v>50</v>
      </c>
      <c r="H240" s="3"/>
      <c r="I240" s="3"/>
      <c r="J240" s="3"/>
      <c r="K240" s="3"/>
      <c r="L240" s="3"/>
      <c r="M240" s="3"/>
      <c r="N240" s="3"/>
      <c r="O240" s="3"/>
      <c r="P240" s="3"/>
      <c r="Q240" s="3"/>
    </row>
    <row r="241" spans="1:17" ht="60" customHeight="1" x14ac:dyDescent="0.25">
      <c r="A241" s="9">
        <f>IF(F241="","",ROW()-19-COUNTBLANK($F$20:F241))</f>
        <v>194</v>
      </c>
      <c r="B241" s="18"/>
      <c r="C241" s="4" t="s">
        <v>2750</v>
      </c>
      <c r="D241" s="4" t="s">
        <v>2751</v>
      </c>
      <c r="E241" s="7" t="s">
        <v>2748</v>
      </c>
      <c r="F241" s="7" t="s">
        <v>2752</v>
      </c>
      <c r="G241" s="3" t="s">
        <v>50</v>
      </c>
      <c r="H241" s="3"/>
      <c r="I241" s="3"/>
      <c r="J241" s="3"/>
      <c r="K241" s="3"/>
      <c r="L241" s="3"/>
      <c r="M241" s="3"/>
      <c r="N241" s="3"/>
      <c r="O241" s="3"/>
      <c r="P241" s="3"/>
      <c r="Q241" s="3"/>
    </row>
    <row r="242" spans="1:17" ht="60" customHeight="1" x14ac:dyDescent="0.25">
      <c r="A242" s="9">
        <f>IF(F242="","",ROW()-19-COUNTBLANK($F$20:F242))</f>
        <v>195</v>
      </c>
      <c r="B242" s="18"/>
      <c r="C242" s="4" t="s">
        <v>2753</v>
      </c>
      <c r="D242" s="4" t="s">
        <v>2754</v>
      </c>
      <c r="E242" s="7" t="s">
        <v>2748</v>
      </c>
      <c r="F242" s="7" t="s">
        <v>2755</v>
      </c>
      <c r="G242" s="3" t="s">
        <v>50</v>
      </c>
      <c r="H242" s="3"/>
      <c r="I242" s="3"/>
      <c r="J242" s="3"/>
      <c r="K242" s="3"/>
      <c r="L242" s="3"/>
      <c r="M242" s="3"/>
      <c r="N242" s="3"/>
      <c r="O242" s="3"/>
      <c r="P242" s="3"/>
      <c r="Q242" s="3"/>
    </row>
    <row r="243" spans="1:17" ht="60" customHeight="1" x14ac:dyDescent="0.25">
      <c r="A243" s="9">
        <f>IF(F243="","",ROW()-19-COUNTBLANK($F$20:F243))</f>
        <v>196</v>
      </c>
      <c r="B243" s="18"/>
      <c r="C243" s="4" t="s">
        <v>2756</v>
      </c>
      <c r="D243" s="4" t="s">
        <v>2757</v>
      </c>
      <c r="E243" s="7" t="s">
        <v>2748</v>
      </c>
      <c r="F243" s="7" t="s">
        <v>2758</v>
      </c>
      <c r="G243" s="3" t="s">
        <v>55</v>
      </c>
      <c r="H243" s="3"/>
      <c r="I243" s="3"/>
      <c r="J243" s="3"/>
      <c r="K243" s="3"/>
      <c r="L243" s="3"/>
      <c r="M243" s="3"/>
      <c r="N243" s="3"/>
      <c r="O243" s="3"/>
      <c r="P243" s="3"/>
      <c r="Q243" s="3"/>
    </row>
    <row r="244" spans="1:17" ht="60" customHeight="1" x14ac:dyDescent="0.25">
      <c r="A244" s="9">
        <f>IF(F244="","",ROW()-19-COUNTBLANK($F$20:F244))</f>
        <v>197</v>
      </c>
      <c r="B244" s="18"/>
      <c r="C244" s="4" t="s">
        <v>2759</v>
      </c>
      <c r="D244" s="4" t="s">
        <v>2760</v>
      </c>
      <c r="E244" s="7" t="s">
        <v>2376</v>
      </c>
      <c r="F244" s="7" t="s">
        <v>2761</v>
      </c>
      <c r="G244" s="3" t="s">
        <v>50</v>
      </c>
      <c r="H244" s="3"/>
      <c r="I244" s="3"/>
      <c r="J244" s="3"/>
      <c r="K244" s="3"/>
      <c r="L244" s="3"/>
      <c r="M244" s="3"/>
      <c r="N244" s="3"/>
      <c r="O244" s="3"/>
      <c r="P244" s="3"/>
      <c r="Q244" s="3"/>
    </row>
    <row r="245" spans="1:17" ht="60" customHeight="1" x14ac:dyDescent="0.25">
      <c r="A245" s="9">
        <f>IF(F245="","",ROW()-19-COUNTBLANK($F$20:F245))</f>
        <v>198</v>
      </c>
      <c r="B245" s="19"/>
      <c r="C245" s="4" t="s">
        <v>2762</v>
      </c>
      <c r="D245" s="4" t="s">
        <v>2763</v>
      </c>
      <c r="E245" s="7" t="s">
        <v>2748</v>
      </c>
      <c r="F245" s="7" t="s">
        <v>2764</v>
      </c>
      <c r="G245" s="3" t="s">
        <v>50</v>
      </c>
      <c r="H245" s="3"/>
      <c r="I245" s="3"/>
      <c r="J245" s="3"/>
      <c r="K245" s="3"/>
      <c r="L245" s="3"/>
      <c r="M245" s="3"/>
      <c r="N245" s="3"/>
      <c r="O245" s="3"/>
      <c r="P245" s="3"/>
      <c r="Q245" s="3"/>
    </row>
    <row r="246" spans="1:17" ht="60" customHeight="1" x14ac:dyDescent="0.25">
      <c r="A246" s="9">
        <f>IF(F246="","",ROW()-19-COUNTBLANK($F$20:F246))</f>
        <v>199</v>
      </c>
      <c r="B246" s="4" t="s">
        <v>2765</v>
      </c>
      <c r="C246" s="4" t="s">
        <v>2766</v>
      </c>
      <c r="D246" s="4" t="s">
        <v>2767</v>
      </c>
      <c r="E246" s="7" t="s">
        <v>2768</v>
      </c>
      <c r="F246" s="7" t="s">
        <v>2769</v>
      </c>
      <c r="G246" s="3" t="s">
        <v>50</v>
      </c>
      <c r="H246" s="3"/>
      <c r="I246" s="3"/>
      <c r="J246" s="3"/>
      <c r="K246" s="3"/>
      <c r="L246" s="3"/>
      <c r="M246" s="3"/>
      <c r="N246" s="3"/>
      <c r="O246" s="3"/>
      <c r="P246" s="3"/>
      <c r="Q246" s="3"/>
    </row>
    <row r="247" spans="1:17" ht="60" customHeight="1" x14ac:dyDescent="0.25">
      <c r="A247" s="9">
        <f>IF(F247="","",ROW()-19-COUNTBLANK($F$20:F247))</f>
        <v>200</v>
      </c>
      <c r="B247" s="4" t="s">
        <v>2770</v>
      </c>
      <c r="C247" s="4" t="s">
        <v>2771</v>
      </c>
      <c r="D247" s="4" t="s">
        <v>2772</v>
      </c>
      <c r="E247" s="7" t="s">
        <v>2376</v>
      </c>
      <c r="F247" s="7" t="s">
        <v>2773</v>
      </c>
      <c r="G247" s="3" t="s">
        <v>50</v>
      </c>
      <c r="H247" s="3"/>
      <c r="I247" s="3"/>
      <c r="J247" s="3"/>
      <c r="K247" s="3"/>
      <c r="L247" s="3"/>
      <c r="M247" s="3"/>
      <c r="N247" s="3"/>
      <c r="O247" s="3"/>
      <c r="P247" s="3"/>
      <c r="Q247" s="3"/>
    </row>
    <row r="248" spans="1:17" ht="60" customHeight="1" x14ac:dyDescent="0.25">
      <c r="A248" s="9">
        <f>IF(F248="","",ROW()-19-COUNTBLANK($F$20:F248))</f>
        <v>201</v>
      </c>
      <c r="B248" s="4" t="s">
        <v>2774</v>
      </c>
      <c r="C248" s="4" t="s">
        <v>2775</v>
      </c>
      <c r="D248" s="4" t="s">
        <v>2776</v>
      </c>
      <c r="E248" s="7" t="s">
        <v>2376</v>
      </c>
      <c r="F248" s="7" t="s">
        <v>2777</v>
      </c>
      <c r="G248" s="3" t="s">
        <v>50</v>
      </c>
      <c r="H248" s="3"/>
      <c r="I248" s="3"/>
      <c r="J248" s="3"/>
      <c r="K248" s="3"/>
      <c r="L248" s="3"/>
      <c r="M248" s="3"/>
      <c r="N248" s="3"/>
      <c r="O248" s="3"/>
      <c r="P248" s="3"/>
      <c r="Q248" s="3"/>
    </row>
    <row r="249" spans="1:17" ht="60" customHeight="1" x14ac:dyDescent="0.25">
      <c r="A249" s="9">
        <f>IF(F249="","",ROW()-19-COUNTBLANK($F$20:F249))</f>
        <v>202</v>
      </c>
      <c r="B249" s="4" t="s">
        <v>2778</v>
      </c>
      <c r="C249" s="4" t="s">
        <v>2779</v>
      </c>
      <c r="D249" s="4" t="s">
        <v>2780</v>
      </c>
      <c r="E249" s="7" t="s">
        <v>2376</v>
      </c>
      <c r="F249" s="7" t="s">
        <v>2781</v>
      </c>
      <c r="G249" s="3" t="s">
        <v>50</v>
      </c>
      <c r="H249" s="3"/>
      <c r="I249" s="3"/>
      <c r="J249" s="3"/>
      <c r="K249" s="3"/>
      <c r="L249" s="3"/>
      <c r="M249" s="3"/>
      <c r="N249" s="3"/>
      <c r="O249" s="3"/>
      <c r="P249" s="3"/>
      <c r="Q249" s="3"/>
    </row>
    <row r="250" spans="1:17" ht="60" customHeight="1" x14ac:dyDescent="0.25">
      <c r="A250" s="9">
        <f>IF(F250="","",ROW()-19-COUNTBLANK($F$20:F250))</f>
        <v>203</v>
      </c>
      <c r="B250" s="4" t="s">
        <v>2782</v>
      </c>
      <c r="C250" s="4" t="s">
        <v>2783</v>
      </c>
      <c r="D250" s="4" t="s">
        <v>2784</v>
      </c>
      <c r="E250" s="7" t="s">
        <v>2376</v>
      </c>
      <c r="F250" s="7" t="s">
        <v>2785</v>
      </c>
      <c r="G250" s="3" t="s">
        <v>50</v>
      </c>
      <c r="H250" s="3"/>
      <c r="I250" s="3"/>
      <c r="J250" s="3"/>
      <c r="K250" s="3"/>
      <c r="L250" s="3"/>
      <c r="M250" s="3"/>
      <c r="N250" s="3"/>
      <c r="O250" s="3"/>
      <c r="P250" s="3"/>
      <c r="Q250" s="3"/>
    </row>
    <row r="251" spans="1:17" ht="60" customHeight="1" x14ac:dyDescent="0.25">
      <c r="A251" s="9">
        <f>IF(F251="","",ROW()-19-COUNTBLANK($F$20:F251))</f>
        <v>204</v>
      </c>
      <c r="B251" s="4" t="s">
        <v>1812</v>
      </c>
      <c r="C251" s="4" t="s">
        <v>2786</v>
      </c>
      <c r="D251" s="4" t="s">
        <v>1862</v>
      </c>
      <c r="E251" s="7" t="s">
        <v>2787</v>
      </c>
      <c r="F251" s="7" t="s">
        <v>2788</v>
      </c>
      <c r="G251" s="3" t="s">
        <v>55</v>
      </c>
      <c r="H251" s="3"/>
      <c r="I251" s="3"/>
      <c r="J251" s="3"/>
      <c r="K251" s="3"/>
      <c r="L251" s="3"/>
      <c r="M251" s="3"/>
      <c r="N251" s="3"/>
      <c r="O251" s="3"/>
      <c r="P251" s="3"/>
      <c r="Q251" s="3"/>
    </row>
    <row r="252" spans="1:17" ht="60" customHeight="1" x14ac:dyDescent="0.25">
      <c r="A252" s="9">
        <f>IF(F252="","",ROW()-19-COUNTBLANK($F$20:F252))</f>
        <v>205</v>
      </c>
      <c r="B252" s="17" t="s">
        <v>2789</v>
      </c>
      <c r="C252" s="4" t="s">
        <v>2586</v>
      </c>
      <c r="D252" s="4" t="s">
        <v>2790</v>
      </c>
      <c r="E252" s="7" t="s">
        <v>2376</v>
      </c>
      <c r="F252" s="7" t="s">
        <v>2791</v>
      </c>
      <c r="G252" s="3" t="s">
        <v>50</v>
      </c>
      <c r="H252" s="3"/>
      <c r="I252" s="3"/>
      <c r="J252" s="3"/>
      <c r="K252" s="3"/>
      <c r="L252" s="3"/>
      <c r="M252" s="3"/>
      <c r="N252" s="3"/>
      <c r="O252" s="3"/>
      <c r="P252" s="3"/>
      <c r="Q252" s="3"/>
    </row>
    <row r="253" spans="1:17" ht="60" customHeight="1" x14ac:dyDescent="0.25">
      <c r="A253" s="9">
        <f>IF(F253="","",ROW()-19-COUNTBLANK($F$20:F253))</f>
        <v>206</v>
      </c>
      <c r="B253" s="18"/>
      <c r="C253" s="4" t="s">
        <v>2792</v>
      </c>
      <c r="D253" s="4" t="s">
        <v>2793</v>
      </c>
      <c r="E253" s="7" t="s">
        <v>2376</v>
      </c>
      <c r="F253" s="7" t="s">
        <v>2791</v>
      </c>
      <c r="G253" s="3" t="s">
        <v>50</v>
      </c>
      <c r="H253" s="3"/>
      <c r="I253" s="3"/>
      <c r="J253" s="3"/>
      <c r="K253" s="3"/>
      <c r="L253" s="3"/>
      <c r="M253" s="3"/>
      <c r="N253" s="3"/>
      <c r="O253" s="3"/>
      <c r="P253" s="3"/>
      <c r="Q253" s="3"/>
    </row>
    <row r="254" spans="1:17" ht="60" customHeight="1" x14ac:dyDescent="0.25">
      <c r="A254" s="9">
        <f>IF(F254="","",ROW()-19-COUNTBLANK($F$20:F254))</f>
        <v>207</v>
      </c>
      <c r="B254" s="18"/>
      <c r="C254" s="4" t="s">
        <v>2794</v>
      </c>
      <c r="D254" s="4" t="s">
        <v>2795</v>
      </c>
      <c r="E254" s="7" t="s">
        <v>2376</v>
      </c>
      <c r="F254" s="7" t="s">
        <v>2796</v>
      </c>
      <c r="G254" s="3" t="s">
        <v>55</v>
      </c>
      <c r="H254" s="3"/>
      <c r="I254" s="3"/>
      <c r="J254" s="3"/>
      <c r="K254" s="3"/>
      <c r="L254" s="3"/>
      <c r="M254" s="3"/>
      <c r="N254" s="3"/>
      <c r="O254" s="3"/>
      <c r="P254" s="3"/>
      <c r="Q254" s="3"/>
    </row>
    <row r="255" spans="1:17" ht="60" customHeight="1" x14ac:dyDescent="0.25">
      <c r="A255" s="9">
        <f>IF(F255="","",ROW()-19-COUNTBLANK($F$20:F255))</f>
        <v>208</v>
      </c>
      <c r="B255" s="19"/>
      <c r="C255" s="4" t="s">
        <v>2797</v>
      </c>
      <c r="D255" s="4" t="s">
        <v>2798</v>
      </c>
      <c r="E255" s="7" t="s">
        <v>2376</v>
      </c>
      <c r="F255" s="7" t="s">
        <v>2799</v>
      </c>
      <c r="G255" s="3" t="s">
        <v>50</v>
      </c>
      <c r="H255" s="3"/>
      <c r="I255" s="3"/>
      <c r="J255" s="3"/>
      <c r="K255" s="3"/>
      <c r="L255" s="3"/>
      <c r="M255" s="3"/>
      <c r="N255" s="3"/>
      <c r="O255" s="3"/>
      <c r="P255" s="3"/>
      <c r="Q255" s="3"/>
    </row>
    <row r="256" spans="1:17" ht="60" customHeight="1" x14ac:dyDescent="0.25">
      <c r="A256" s="9">
        <f>IF(F256="","",ROW()-19-COUNTBLANK($F$20:F256))</f>
        <v>209</v>
      </c>
      <c r="B256" s="17" t="s">
        <v>2800</v>
      </c>
      <c r="C256" s="4" t="s">
        <v>2801</v>
      </c>
      <c r="D256" s="4" t="s">
        <v>2802</v>
      </c>
      <c r="E256" s="7" t="s">
        <v>2803</v>
      </c>
      <c r="F256" s="7" t="s">
        <v>2804</v>
      </c>
      <c r="G256" s="3" t="s">
        <v>50</v>
      </c>
      <c r="H256" s="3"/>
      <c r="I256" s="3"/>
      <c r="J256" s="3"/>
      <c r="K256" s="3"/>
      <c r="L256" s="3"/>
      <c r="M256" s="3"/>
      <c r="N256" s="3"/>
      <c r="O256" s="3"/>
      <c r="P256" s="3"/>
      <c r="Q256" s="3"/>
    </row>
    <row r="257" spans="1:17" ht="60" customHeight="1" x14ac:dyDescent="0.25">
      <c r="A257" s="9">
        <f>IF(F257="","",ROW()-19-COUNTBLANK($F$20:F257))</f>
        <v>210</v>
      </c>
      <c r="B257" s="18"/>
      <c r="C257" s="4" t="s">
        <v>2805</v>
      </c>
      <c r="D257" s="4" t="s">
        <v>2806</v>
      </c>
      <c r="E257" s="7" t="s">
        <v>2376</v>
      </c>
      <c r="F257" s="7" t="s">
        <v>2807</v>
      </c>
      <c r="G257" s="3" t="s">
        <v>55</v>
      </c>
      <c r="H257" s="3"/>
      <c r="I257" s="3"/>
      <c r="J257" s="3"/>
      <c r="K257" s="3"/>
      <c r="L257" s="3"/>
      <c r="M257" s="3"/>
      <c r="N257" s="3"/>
      <c r="O257" s="3"/>
      <c r="P257" s="3"/>
      <c r="Q257" s="3"/>
    </row>
    <row r="258" spans="1:17" ht="60" customHeight="1" x14ac:dyDescent="0.25">
      <c r="A258" s="9">
        <f>IF(F258="","",ROW()-19-COUNTBLANK($F$20:F258))</f>
        <v>211</v>
      </c>
      <c r="B258" s="19"/>
      <c r="C258" s="4" t="s">
        <v>2808</v>
      </c>
      <c r="D258" s="4" t="s">
        <v>2809</v>
      </c>
      <c r="E258" s="7" t="s">
        <v>2803</v>
      </c>
      <c r="F258" s="7" t="s">
        <v>2810</v>
      </c>
      <c r="G258" s="3" t="s">
        <v>55</v>
      </c>
      <c r="H258" s="3"/>
      <c r="I258" s="3"/>
      <c r="J258" s="3"/>
      <c r="K258" s="3"/>
      <c r="L258" s="3"/>
      <c r="M258" s="3"/>
      <c r="N258" s="3"/>
      <c r="O258" s="3"/>
      <c r="P258" s="3"/>
      <c r="Q258" s="3"/>
    </row>
    <row r="259" spans="1:17" ht="60" customHeight="1" x14ac:dyDescent="0.25">
      <c r="A259" s="9">
        <f>IF(F259="","",ROW()-19-COUNTBLANK($F$20:F259))</f>
        <v>212</v>
      </c>
      <c r="B259" s="4" t="s">
        <v>2811</v>
      </c>
      <c r="C259" s="4" t="s">
        <v>2812</v>
      </c>
      <c r="D259" s="4" t="s">
        <v>2813</v>
      </c>
      <c r="E259" s="7" t="s">
        <v>2376</v>
      </c>
      <c r="F259" s="7" t="s">
        <v>2814</v>
      </c>
      <c r="G259" s="3" t="s">
        <v>50</v>
      </c>
      <c r="H259" s="3"/>
      <c r="I259" s="3"/>
      <c r="J259" s="3"/>
      <c r="K259" s="3"/>
      <c r="L259" s="3"/>
      <c r="M259" s="3"/>
      <c r="N259" s="3"/>
      <c r="O259" s="3"/>
      <c r="P259" s="3"/>
      <c r="Q259" s="3"/>
    </row>
    <row r="260" spans="1:17" ht="60" customHeight="1" x14ac:dyDescent="0.25">
      <c r="A260" s="9">
        <f>IF(F260="","",ROW()-19-COUNTBLANK($F$20:F260))</f>
        <v>213</v>
      </c>
      <c r="B260" s="17" t="s">
        <v>2815</v>
      </c>
      <c r="C260" s="4" t="s">
        <v>2816</v>
      </c>
      <c r="D260" s="4" t="s">
        <v>2817</v>
      </c>
      <c r="E260" s="7" t="s">
        <v>2818</v>
      </c>
      <c r="F260" s="7" t="s">
        <v>2819</v>
      </c>
      <c r="G260" s="3" t="s">
        <v>50</v>
      </c>
      <c r="H260" s="3"/>
      <c r="I260" s="3"/>
      <c r="J260" s="3"/>
      <c r="K260" s="3"/>
      <c r="L260" s="3"/>
      <c r="M260" s="3"/>
      <c r="N260" s="3"/>
      <c r="O260" s="3"/>
      <c r="P260" s="3"/>
      <c r="Q260" s="3"/>
    </row>
    <row r="261" spans="1:17" ht="60" customHeight="1" x14ac:dyDescent="0.25">
      <c r="A261" s="9">
        <f>IF(F261="","",ROW()-19-COUNTBLANK($F$20:F261))</f>
        <v>214</v>
      </c>
      <c r="B261" s="18"/>
      <c r="C261" s="4" t="s">
        <v>2820</v>
      </c>
      <c r="D261" s="4" t="s">
        <v>2821</v>
      </c>
      <c r="E261" s="7" t="s">
        <v>2818</v>
      </c>
      <c r="F261" s="7" t="s">
        <v>2822</v>
      </c>
      <c r="G261" s="3" t="s">
        <v>50</v>
      </c>
      <c r="H261" s="3"/>
      <c r="I261" s="3"/>
      <c r="J261" s="3"/>
      <c r="K261" s="3"/>
      <c r="L261" s="3"/>
      <c r="M261" s="3"/>
      <c r="N261" s="3"/>
      <c r="O261" s="3"/>
      <c r="P261" s="3"/>
      <c r="Q261" s="3"/>
    </row>
    <row r="262" spans="1:17" ht="60" customHeight="1" x14ac:dyDescent="0.25">
      <c r="A262" s="9">
        <f>IF(F262="","",ROW()-19-COUNTBLANK($F$20:F262))</f>
        <v>215</v>
      </c>
      <c r="B262" s="18"/>
      <c r="C262" s="4" t="s">
        <v>2823</v>
      </c>
      <c r="D262" s="4" t="s">
        <v>2824</v>
      </c>
      <c r="E262" s="7" t="s">
        <v>2818</v>
      </c>
      <c r="F262" s="7" t="s">
        <v>2825</v>
      </c>
      <c r="G262" s="3" t="s">
        <v>50</v>
      </c>
      <c r="H262" s="3"/>
      <c r="I262" s="3"/>
      <c r="J262" s="3"/>
      <c r="K262" s="3"/>
      <c r="L262" s="3"/>
      <c r="M262" s="3"/>
      <c r="N262" s="3"/>
      <c r="O262" s="3"/>
      <c r="P262" s="3"/>
      <c r="Q262" s="3"/>
    </row>
    <row r="263" spans="1:17" ht="60" customHeight="1" x14ac:dyDescent="0.25">
      <c r="A263" s="9">
        <f>IF(F263="","",ROW()-19-COUNTBLANK($F$20:F263))</f>
        <v>216</v>
      </c>
      <c r="B263" s="19"/>
      <c r="C263" s="4" t="s">
        <v>2826</v>
      </c>
      <c r="D263" s="4" t="s">
        <v>2827</v>
      </c>
      <c r="E263" s="7" t="s">
        <v>2818</v>
      </c>
      <c r="F263" s="7" t="s">
        <v>2828</v>
      </c>
      <c r="G263" s="3" t="s">
        <v>55</v>
      </c>
      <c r="H263" s="3"/>
      <c r="I263" s="3"/>
      <c r="J263" s="3"/>
      <c r="K263" s="3"/>
      <c r="L263" s="3"/>
      <c r="M263" s="3"/>
      <c r="N263" s="3"/>
      <c r="O263" s="3"/>
      <c r="P263" s="3"/>
      <c r="Q263" s="3"/>
    </row>
    <row r="264" spans="1:17" ht="60" customHeight="1" x14ac:dyDescent="0.25">
      <c r="A264" s="9">
        <f>IF(F264="","",ROW()-19-COUNTBLANK($F$20:F264))</f>
        <v>217</v>
      </c>
      <c r="B264" s="17" t="s">
        <v>2829</v>
      </c>
      <c r="C264" s="4" t="s">
        <v>2816</v>
      </c>
      <c r="D264" s="4" t="s">
        <v>2830</v>
      </c>
      <c r="E264" s="7" t="s">
        <v>2818</v>
      </c>
      <c r="F264" s="7" t="s">
        <v>2819</v>
      </c>
      <c r="G264" s="3" t="s">
        <v>50</v>
      </c>
      <c r="H264" s="3"/>
      <c r="I264" s="3"/>
      <c r="J264" s="3"/>
      <c r="K264" s="3"/>
      <c r="L264" s="3"/>
      <c r="M264" s="3"/>
      <c r="N264" s="3"/>
      <c r="O264" s="3"/>
      <c r="P264" s="3"/>
      <c r="Q264" s="3"/>
    </row>
    <row r="265" spans="1:17" ht="60" customHeight="1" x14ac:dyDescent="0.25">
      <c r="A265" s="9">
        <f>IF(F265="","",ROW()-19-COUNTBLANK($F$20:F265))</f>
        <v>218</v>
      </c>
      <c r="B265" s="18"/>
      <c r="C265" s="4" t="s">
        <v>2820</v>
      </c>
      <c r="D265" s="4" t="s">
        <v>2831</v>
      </c>
      <c r="E265" s="7" t="s">
        <v>2818</v>
      </c>
      <c r="F265" s="7" t="s">
        <v>2822</v>
      </c>
      <c r="G265" s="3" t="s">
        <v>50</v>
      </c>
      <c r="H265" s="3"/>
      <c r="I265" s="3"/>
      <c r="J265" s="3"/>
      <c r="K265" s="3"/>
      <c r="L265" s="3"/>
      <c r="M265" s="3"/>
      <c r="N265" s="3"/>
      <c r="O265" s="3"/>
      <c r="P265" s="3"/>
      <c r="Q265" s="3"/>
    </row>
    <row r="266" spans="1:17" ht="60" customHeight="1" x14ac:dyDescent="0.25">
      <c r="A266" s="9">
        <f>IF(F266="","",ROW()-19-COUNTBLANK($F$20:F266))</f>
        <v>219</v>
      </c>
      <c r="B266" s="18"/>
      <c r="C266" s="4" t="s">
        <v>2823</v>
      </c>
      <c r="D266" s="4" t="s">
        <v>2832</v>
      </c>
      <c r="E266" s="7" t="s">
        <v>2818</v>
      </c>
      <c r="F266" s="7" t="s">
        <v>2825</v>
      </c>
      <c r="G266" s="3" t="s">
        <v>50</v>
      </c>
      <c r="H266" s="3"/>
      <c r="I266" s="3"/>
      <c r="J266" s="3"/>
      <c r="K266" s="3"/>
      <c r="L266" s="3"/>
      <c r="M266" s="3"/>
      <c r="N266" s="3"/>
      <c r="O266" s="3"/>
      <c r="P266" s="3"/>
      <c r="Q266" s="3"/>
    </row>
    <row r="267" spans="1:17" ht="60" customHeight="1" x14ac:dyDescent="0.25">
      <c r="A267" s="9">
        <f>IF(F267="","",ROW()-19-COUNTBLANK($F$20:F267))</f>
        <v>220</v>
      </c>
      <c r="B267" s="19"/>
      <c r="C267" s="4" t="s">
        <v>2826</v>
      </c>
      <c r="D267" s="4" t="s">
        <v>2833</v>
      </c>
      <c r="E267" s="7" t="s">
        <v>2818</v>
      </c>
      <c r="F267" s="7" t="s">
        <v>2828</v>
      </c>
      <c r="G267" s="3" t="s">
        <v>55</v>
      </c>
      <c r="H267" s="3"/>
      <c r="I267" s="3"/>
      <c r="J267" s="3"/>
      <c r="K267" s="3"/>
      <c r="L267" s="3"/>
      <c r="M267" s="3"/>
      <c r="N267" s="3"/>
      <c r="O267" s="3"/>
      <c r="P267" s="3"/>
      <c r="Q267" s="3"/>
    </row>
    <row r="268" spans="1:17" ht="60" customHeight="1" x14ac:dyDescent="0.25">
      <c r="A268" s="9">
        <f>IF(F268="","",ROW()-19-COUNTBLANK($F$20:F268))</f>
        <v>221</v>
      </c>
      <c r="B268" s="17" t="s">
        <v>2834</v>
      </c>
      <c r="C268" s="4" t="s">
        <v>2816</v>
      </c>
      <c r="D268" s="4" t="s">
        <v>2835</v>
      </c>
      <c r="E268" s="7" t="s">
        <v>2818</v>
      </c>
      <c r="F268" s="7" t="s">
        <v>2819</v>
      </c>
      <c r="G268" s="3" t="s">
        <v>50</v>
      </c>
      <c r="H268" s="3"/>
      <c r="I268" s="3"/>
      <c r="J268" s="3"/>
      <c r="K268" s="3"/>
      <c r="L268" s="3"/>
      <c r="M268" s="3"/>
      <c r="N268" s="3"/>
      <c r="O268" s="3"/>
      <c r="P268" s="3"/>
      <c r="Q268" s="3"/>
    </row>
    <row r="269" spans="1:17" ht="60" customHeight="1" x14ac:dyDescent="0.25">
      <c r="A269" s="9">
        <f>IF(F269="","",ROW()-19-COUNTBLANK($F$20:F269))</f>
        <v>222</v>
      </c>
      <c r="B269" s="18"/>
      <c r="C269" s="4" t="s">
        <v>2820</v>
      </c>
      <c r="D269" s="4" t="s">
        <v>2836</v>
      </c>
      <c r="E269" s="7" t="s">
        <v>2818</v>
      </c>
      <c r="F269" s="7" t="s">
        <v>2822</v>
      </c>
      <c r="G269" s="3" t="s">
        <v>50</v>
      </c>
      <c r="H269" s="3"/>
      <c r="I269" s="3"/>
      <c r="J269" s="3"/>
      <c r="K269" s="3"/>
      <c r="L269" s="3"/>
      <c r="M269" s="3"/>
      <c r="N269" s="3"/>
      <c r="O269" s="3"/>
      <c r="P269" s="3"/>
      <c r="Q269" s="3"/>
    </row>
    <row r="270" spans="1:17" ht="60" customHeight="1" x14ac:dyDescent="0.25">
      <c r="A270" s="9">
        <f>IF(F270="","",ROW()-19-COUNTBLANK($F$20:F270))</f>
        <v>223</v>
      </c>
      <c r="B270" s="18"/>
      <c r="C270" s="4" t="s">
        <v>2823</v>
      </c>
      <c r="D270" s="4" t="s">
        <v>2837</v>
      </c>
      <c r="E270" s="7" t="s">
        <v>2818</v>
      </c>
      <c r="F270" s="7" t="s">
        <v>2825</v>
      </c>
      <c r="G270" s="3" t="s">
        <v>50</v>
      </c>
      <c r="H270" s="3"/>
      <c r="I270" s="3"/>
      <c r="J270" s="3"/>
      <c r="K270" s="3"/>
      <c r="L270" s="3"/>
      <c r="M270" s="3"/>
      <c r="N270" s="3"/>
      <c r="O270" s="3"/>
      <c r="P270" s="3"/>
      <c r="Q270" s="3"/>
    </row>
    <row r="271" spans="1:17" ht="60" customHeight="1" x14ac:dyDescent="0.25">
      <c r="A271" s="9">
        <f>IF(F271="","",ROW()-19-COUNTBLANK($F$20:F271))</f>
        <v>224</v>
      </c>
      <c r="B271" s="19"/>
      <c r="C271" s="4" t="s">
        <v>2826</v>
      </c>
      <c r="D271" s="4" t="s">
        <v>2838</v>
      </c>
      <c r="E271" s="7" t="s">
        <v>2818</v>
      </c>
      <c r="F271" s="7" t="s">
        <v>2828</v>
      </c>
      <c r="G271" s="3" t="s">
        <v>55</v>
      </c>
      <c r="H271" s="3"/>
      <c r="I271" s="3"/>
      <c r="J271" s="3"/>
      <c r="K271" s="3"/>
      <c r="L271" s="3"/>
      <c r="M271" s="3"/>
      <c r="N271" s="3"/>
      <c r="O271" s="3"/>
      <c r="P271" s="3"/>
      <c r="Q271" s="3"/>
    </row>
    <row r="272" spans="1:17" ht="20.100000000000001" customHeight="1" x14ac:dyDescent="0.25">
      <c r="A272" s="9" t="str">
        <f>IF(F272="","",ROW()-19-COUNTBLANK($F$20:F272))</f>
        <v/>
      </c>
      <c r="B272" s="12" t="s">
        <v>2839</v>
      </c>
      <c r="C272" s="12"/>
      <c r="D272" s="12"/>
      <c r="E272" s="12"/>
      <c r="F272" s="12"/>
      <c r="G272" s="12"/>
      <c r="H272" s="12"/>
      <c r="I272" s="12"/>
      <c r="J272" s="12"/>
      <c r="K272" s="12"/>
      <c r="L272" s="12"/>
      <c r="M272" s="12"/>
      <c r="N272" s="12"/>
      <c r="O272" s="12"/>
      <c r="P272" s="12"/>
      <c r="Q272" s="12"/>
    </row>
    <row r="273" spans="1:17" ht="60" customHeight="1" x14ac:dyDescent="0.25">
      <c r="A273" s="9">
        <f>IF(F273="","",ROW()-19-COUNTBLANK($F$20:F273))</f>
        <v>225</v>
      </c>
      <c r="B273" s="4" t="s">
        <v>2840</v>
      </c>
      <c r="C273" s="4" t="s">
        <v>2841</v>
      </c>
      <c r="D273" s="4" t="s">
        <v>2842</v>
      </c>
      <c r="E273" s="7" t="s">
        <v>2843</v>
      </c>
      <c r="F273" s="7" t="s">
        <v>2844</v>
      </c>
      <c r="G273" s="3" t="s">
        <v>50</v>
      </c>
      <c r="H273" s="3"/>
      <c r="I273" s="3"/>
      <c r="J273" s="3"/>
      <c r="K273" s="3"/>
      <c r="L273" s="3"/>
      <c r="M273" s="3"/>
      <c r="N273" s="3"/>
      <c r="O273" s="3"/>
      <c r="P273" s="3"/>
      <c r="Q273" s="3"/>
    </row>
    <row r="274" spans="1:17" ht="60" customHeight="1" x14ac:dyDescent="0.25">
      <c r="A274" s="9">
        <f>IF(F274="","",ROW()-19-COUNTBLANK($F$20:F274))</f>
        <v>226</v>
      </c>
      <c r="B274" s="4" t="s">
        <v>2845</v>
      </c>
      <c r="C274" s="4" t="s">
        <v>2846</v>
      </c>
      <c r="D274" s="4"/>
      <c r="E274" s="7" t="s">
        <v>2847</v>
      </c>
      <c r="F274" s="7" t="s">
        <v>2848</v>
      </c>
      <c r="G274" s="3" t="s">
        <v>50</v>
      </c>
      <c r="H274" s="3"/>
      <c r="I274" s="3"/>
      <c r="J274" s="3"/>
      <c r="K274" s="3"/>
      <c r="L274" s="3"/>
      <c r="M274" s="3"/>
      <c r="N274" s="3"/>
      <c r="O274" s="3"/>
      <c r="P274" s="3"/>
      <c r="Q274" s="3"/>
    </row>
    <row r="275" spans="1:17" ht="60" customHeight="1" x14ac:dyDescent="0.25">
      <c r="A275" s="9">
        <f>IF(F275="","",ROW()-19-COUNTBLANK($F$20:F275))</f>
        <v>227</v>
      </c>
      <c r="B275" s="4" t="s">
        <v>2849</v>
      </c>
      <c r="C275" s="4" t="s">
        <v>2850</v>
      </c>
      <c r="D275" s="4"/>
      <c r="E275" s="7" t="s">
        <v>2851</v>
      </c>
      <c r="F275" s="7" t="s">
        <v>2852</v>
      </c>
      <c r="G275" s="3" t="s">
        <v>50</v>
      </c>
      <c r="H275" s="3"/>
      <c r="I275" s="3"/>
      <c r="J275" s="3"/>
      <c r="K275" s="3"/>
      <c r="L275" s="3"/>
      <c r="M275" s="3"/>
      <c r="N275" s="3"/>
      <c r="O275" s="3"/>
      <c r="P275" s="3"/>
      <c r="Q275" s="3"/>
    </row>
    <row r="276" spans="1:17" ht="60" customHeight="1" x14ac:dyDescent="0.25">
      <c r="A276" s="9">
        <f>IF(F276="","",ROW()-19-COUNTBLANK($F$20:F276))</f>
        <v>228</v>
      </c>
      <c r="B276" s="4" t="s">
        <v>2853</v>
      </c>
      <c r="C276" s="4" t="s">
        <v>2854</v>
      </c>
      <c r="D276" s="4"/>
      <c r="E276" s="7" t="s">
        <v>2855</v>
      </c>
      <c r="F276" s="7" t="s">
        <v>2856</v>
      </c>
      <c r="G276" s="3" t="s">
        <v>50</v>
      </c>
      <c r="H276" s="3"/>
      <c r="I276" s="3"/>
      <c r="J276" s="3"/>
      <c r="K276" s="3"/>
      <c r="L276" s="3"/>
      <c r="M276" s="3"/>
      <c r="N276" s="3"/>
      <c r="O276" s="3"/>
      <c r="P276" s="3"/>
      <c r="Q276" s="3"/>
    </row>
    <row r="277" spans="1:17" ht="60" customHeight="1" x14ac:dyDescent="0.25">
      <c r="A277" s="9">
        <f>IF(F277="","",ROW()-19-COUNTBLANK($F$20:F277))</f>
        <v>229</v>
      </c>
      <c r="B277" s="4" t="s">
        <v>2857</v>
      </c>
      <c r="C277" s="4" t="s">
        <v>2858</v>
      </c>
      <c r="D277" s="4"/>
      <c r="E277" s="7" t="s">
        <v>2859</v>
      </c>
      <c r="F277" s="7" t="s">
        <v>2860</v>
      </c>
      <c r="G277" s="3" t="s">
        <v>50</v>
      </c>
      <c r="H277" s="3"/>
      <c r="I277" s="3"/>
      <c r="J277" s="3"/>
      <c r="K277" s="3"/>
      <c r="L277" s="3"/>
      <c r="M277" s="3"/>
      <c r="N277" s="3"/>
      <c r="O277" s="3"/>
      <c r="P277" s="3"/>
      <c r="Q277" s="3"/>
    </row>
    <row r="278" spans="1:17" ht="60" customHeight="1" x14ac:dyDescent="0.25">
      <c r="A278" s="9">
        <f>IF(F278="","",ROW()-19-COUNTBLANK($F$20:F278))</f>
        <v>230</v>
      </c>
      <c r="B278" s="4" t="s">
        <v>2861</v>
      </c>
      <c r="C278" s="4" t="s">
        <v>2862</v>
      </c>
      <c r="D278" s="4" t="s">
        <v>2863</v>
      </c>
      <c r="E278" s="7" t="s">
        <v>2864</v>
      </c>
      <c r="F278" s="7" t="s">
        <v>2865</v>
      </c>
      <c r="G278" s="3" t="s">
        <v>50</v>
      </c>
      <c r="H278" s="3"/>
      <c r="I278" s="3"/>
      <c r="J278" s="3"/>
      <c r="K278" s="3"/>
      <c r="L278" s="3"/>
      <c r="M278" s="3"/>
      <c r="N278" s="3"/>
      <c r="O278" s="3"/>
      <c r="P278" s="3"/>
      <c r="Q278" s="3"/>
    </row>
    <row r="279" spans="1:17" ht="60" customHeight="1" x14ac:dyDescent="0.25">
      <c r="A279" s="9">
        <f>IF(F279="","",ROW()-19-COUNTBLANK($F$20:F279))</f>
        <v>231</v>
      </c>
      <c r="B279" s="4" t="s">
        <v>2866</v>
      </c>
      <c r="C279" s="4" t="s">
        <v>2867</v>
      </c>
      <c r="D279" s="4" t="s">
        <v>2868</v>
      </c>
      <c r="E279" s="7" t="s">
        <v>2864</v>
      </c>
      <c r="F279" s="7" t="s">
        <v>2869</v>
      </c>
      <c r="G279" s="3" t="s">
        <v>55</v>
      </c>
      <c r="H279" s="3"/>
      <c r="I279" s="3"/>
      <c r="J279" s="3"/>
      <c r="K279" s="3"/>
      <c r="L279" s="3"/>
      <c r="M279" s="3"/>
      <c r="N279" s="3"/>
      <c r="O279" s="3"/>
      <c r="P279" s="3"/>
      <c r="Q279" s="3"/>
    </row>
    <row r="280" spans="1:17" ht="60" customHeight="1" x14ac:dyDescent="0.25">
      <c r="A280" s="9">
        <f>IF(F280="","",ROW()-19-COUNTBLANK($F$20:F280))</f>
        <v>232</v>
      </c>
      <c r="B280" s="4" t="s">
        <v>2870</v>
      </c>
      <c r="C280" s="4" t="s">
        <v>2871</v>
      </c>
      <c r="D280" s="4"/>
      <c r="E280" s="7" t="s">
        <v>2864</v>
      </c>
      <c r="F280" s="7" t="s">
        <v>2872</v>
      </c>
      <c r="G280" s="3" t="s">
        <v>50</v>
      </c>
      <c r="H280" s="3"/>
      <c r="I280" s="3"/>
      <c r="J280" s="3"/>
      <c r="K280" s="3"/>
      <c r="L280" s="3"/>
      <c r="M280" s="3"/>
      <c r="N280" s="3"/>
      <c r="O280" s="3"/>
      <c r="P280" s="3"/>
      <c r="Q280" s="3"/>
    </row>
    <row r="281" spans="1:17" ht="60" customHeight="1" x14ac:dyDescent="0.25">
      <c r="A281" s="9">
        <f>IF(F281="","",ROW()-19-COUNTBLANK($F$20:F281))</f>
        <v>233</v>
      </c>
      <c r="B281" s="4" t="s">
        <v>2873</v>
      </c>
      <c r="C281" s="4" t="s">
        <v>2874</v>
      </c>
      <c r="D281" s="4" t="s">
        <v>2875</v>
      </c>
      <c r="E281" s="7" t="s">
        <v>2876</v>
      </c>
      <c r="F281" s="7" t="s">
        <v>2877</v>
      </c>
      <c r="G281" s="3" t="s">
        <v>50</v>
      </c>
      <c r="H281" s="3"/>
      <c r="I281" s="3"/>
      <c r="J281" s="3"/>
      <c r="K281" s="3"/>
      <c r="L281" s="3"/>
      <c r="M281" s="3"/>
      <c r="N281" s="3"/>
      <c r="O281" s="3"/>
      <c r="P281" s="3"/>
      <c r="Q281" s="3"/>
    </row>
    <row r="282" spans="1:17" ht="60" customHeight="1" x14ac:dyDescent="0.25">
      <c r="A282" s="9">
        <f>IF(F282="","",ROW()-19-COUNTBLANK($F$20:F282))</f>
        <v>234</v>
      </c>
      <c r="B282" s="4" t="s">
        <v>2878</v>
      </c>
      <c r="C282" s="4" t="s">
        <v>2879</v>
      </c>
      <c r="D282" s="4" t="s">
        <v>2880</v>
      </c>
      <c r="E282" s="7" t="s">
        <v>2881</v>
      </c>
      <c r="F282" s="7" t="s">
        <v>2882</v>
      </c>
      <c r="G282" s="3" t="s">
        <v>55</v>
      </c>
      <c r="H282" s="3"/>
      <c r="I282" s="3"/>
      <c r="J282" s="3"/>
      <c r="K282" s="3"/>
      <c r="L282" s="3"/>
      <c r="M282" s="3"/>
      <c r="N282" s="3"/>
      <c r="O282" s="3"/>
      <c r="P282" s="3"/>
      <c r="Q282" s="3"/>
    </row>
    <row r="283" spans="1:17" ht="60" customHeight="1" x14ac:dyDescent="0.25">
      <c r="A283" s="9">
        <f>IF(F283="","",ROW()-19-COUNTBLANK($F$20:F283))</f>
        <v>235</v>
      </c>
      <c r="B283" s="4" t="s">
        <v>2883</v>
      </c>
      <c r="C283" s="4" t="s">
        <v>2884</v>
      </c>
      <c r="D283" s="4" t="s">
        <v>2885</v>
      </c>
      <c r="E283" s="7" t="s">
        <v>2886</v>
      </c>
      <c r="F283" s="7" t="s">
        <v>2887</v>
      </c>
      <c r="G283" s="3" t="s">
        <v>55</v>
      </c>
      <c r="H283" s="3"/>
      <c r="I283" s="3"/>
      <c r="J283" s="3"/>
      <c r="K283" s="3"/>
      <c r="L283" s="3"/>
      <c r="M283" s="3"/>
      <c r="N283" s="3"/>
      <c r="O283" s="3"/>
      <c r="P283" s="3"/>
      <c r="Q283" s="3"/>
    </row>
    <row r="284" spans="1:17" ht="20.100000000000001" customHeight="1" x14ac:dyDescent="0.25">
      <c r="A284" s="9" t="str">
        <f>IF(F284="","",ROW()-19-COUNTBLANK($F$20:F284))</f>
        <v/>
      </c>
      <c r="B284" s="12" t="s">
        <v>2888</v>
      </c>
      <c r="C284" s="12"/>
      <c r="D284" s="12"/>
      <c r="E284" s="12"/>
      <c r="F284" s="12"/>
      <c r="G284" s="12"/>
      <c r="H284" s="12"/>
      <c r="I284" s="12"/>
      <c r="J284" s="12"/>
      <c r="K284" s="12"/>
      <c r="L284" s="12"/>
      <c r="M284" s="12"/>
      <c r="N284" s="12"/>
      <c r="O284" s="12"/>
      <c r="P284" s="12"/>
      <c r="Q284" s="12"/>
    </row>
    <row r="285" spans="1:17" ht="60" customHeight="1" x14ac:dyDescent="0.25">
      <c r="A285" s="9">
        <f>IF(F285="","",ROW()-19-COUNTBLANK($F$20:F285))</f>
        <v>236</v>
      </c>
      <c r="B285" s="4" t="s">
        <v>2889</v>
      </c>
      <c r="C285" s="4" t="s">
        <v>2890</v>
      </c>
      <c r="D285" s="4" t="s">
        <v>2891</v>
      </c>
      <c r="E285" s="7" t="s">
        <v>2892</v>
      </c>
      <c r="F285" s="7" t="s">
        <v>2893</v>
      </c>
      <c r="G285" s="3" t="s">
        <v>50</v>
      </c>
      <c r="H285" s="3"/>
      <c r="I285" s="3"/>
      <c r="J285" s="3"/>
      <c r="K285" s="3"/>
      <c r="L285" s="3"/>
      <c r="M285" s="3"/>
      <c r="N285" s="3"/>
      <c r="O285" s="3"/>
      <c r="P285" s="3"/>
      <c r="Q285" s="3"/>
    </row>
    <row r="286" spans="1:17" ht="60" customHeight="1" x14ac:dyDescent="0.25">
      <c r="A286" s="9">
        <f>IF(F286="","",ROW()-19-COUNTBLANK($F$20:F286))</f>
        <v>237</v>
      </c>
      <c r="B286" s="4" t="s">
        <v>2894</v>
      </c>
      <c r="C286" s="4" t="s">
        <v>2895</v>
      </c>
      <c r="D286" s="4"/>
      <c r="E286" s="7" t="s">
        <v>2896</v>
      </c>
      <c r="F286" s="7" t="s">
        <v>2897</v>
      </c>
      <c r="G286" s="3" t="s">
        <v>50</v>
      </c>
      <c r="H286" s="3"/>
      <c r="I286" s="3"/>
      <c r="J286" s="3"/>
      <c r="K286" s="3"/>
      <c r="L286" s="3"/>
      <c r="M286" s="3"/>
      <c r="N286" s="3"/>
      <c r="O286" s="3"/>
      <c r="P286" s="3"/>
      <c r="Q286" s="3"/>
    </row>
    <row r="287" spans="1:17" ht="60" customHeight="1" x14ac:dyDescent="0.25">
      <c r="A287" s="9">
        <f>IF(F287="","",ROW()-19-COUNTBLANK($F$20:F287))</f>
        <v>238</v>
      </c>
      <c r="B287" s="4" t="s">
        <v>2898</v>
      </c>
      <c r="C287" s="4" t="s">
        <v>2899</v>
      </c>
      <c r="D287" s="4"/>
      <c r="E287" s="7" t="s">
        <v>2900</v>
      </c>
      <c r="F287" s="7" t="s">
        <v>2901</v>
      </c>
      <c r="G287" s="3" t="s">
        <v>50</v>
      </c>
      <c r="H287" s="3"/>
      <c r="I287" s="3"/>
      <c r="J287" s="3"/>
      <c r="K287" s="3"/>
      <c r="L287" s="3"/>
      <c r="M287" s="3"/>
      <c r="N287" s="3"/>
      <c r="O287" s="3"/>
      <c r="P287" s="3"/>
      <c r="Q287" s="3"/>
    </row>
    <row r="288" spans="1:17" ht="60" customHeight="1" x14ac:dyDescent="0.25">
      <c r="A288" s="9">
        <f>IF(F288="","",ROW()-19-COUNTBLANK($F$20:F288))</f>
        <v>239</v>
      </c>
      <c r="B288" s="4" t="s">
        <v>2902</v>
      </c>
      <c r="C288" s="4" t="s">
        <v>2903</v>
      </c>
      <c r="D288" s="4" t="s">
        <v>2904</v>
      </c>
      <c r="E288" s="7" t="s">
        <v>2905</v>
      </c>
      <c r="F288" s="7" t="s">
        <v>2906</v>
      </c>
      <c r="G288" s="3" t="s">
        <v>50</v>
      </c>
      <c r="H288" s="3"/>
      <c r="I288" s="3"/>
      <c r="J288" s="3"/>
      <c r="K288" s="3"/>
      <c r="L288" s="3"/>
      <c r="M288" s="3"/>
      <c r="N288" s="3"/>
      <c r="O288" s="3"/>
      <c r="P288" s="3"/>
      <c r="Q288" s="3"/>
    </row>
    <row r="289" spans="1:17" ht="20.100000000000001" customHeight="1" x14ac:dyDescent="0.25">
      <c r="A289" s="9" t="str">
        <f>IF(F289="","",ROW()-19-COUNTBLANK($F$20:F289))</f>
        <v/>
      </c>
      <c r="B289" s="12" t="s">
        <v>2907</v>
      </c>
      <c r="C289" s="12"/>
      <c r="D289" s="12"/>
      <c r="E289" s="12"/>
      <c r="F289" s="12"/>
      <c r="G289" s="12"/>
      <c r="H289" s="12"/>
      <c r="I289" s="12"/>
      <c r="J289" s="12"/>
      <c r="K289" s="12"/>
      <c r="L289" s="12"/>
      <c r="M289" s="12"/>
      <c r="N289" s="12"/>
      <c r="O289" s="12"/>
      <c r="P289" s="12"/>
      <c r="Q289" s="12"/>
    </row>
    <row r="290" spans="1:17" ht="60" customHeight="1" x14ac:dyDescent="0.25">
      <c r="A290" s="9">
        <f>IF(F290="","",ROW()-19-COUNTBLANK($F$20:F290))</f>
        <v>240</v>
      </c>
      <c r="B290" s="4" t="s">
        <v>2908</v>
      </c>
      <c r="C290" s="4" t="s">
        <v>2909</v>
      </c>
      <c r="D290" s="4"/>
      <c r="E290" s="7" t="s">
        <v>2910</v>
      </c>
      <c r="F290" s="7" t="s">
        <v>2911</v>
      </c>
      <c r="G290" s="3" t="s">
        <v>50</v>
      </c>
      <c r="H290" s="3"/>
      <c r="I290" s="3"/>
      <c r="J290" s="3"/>
      <c r="K290" s="3"/>
      <c r="L290" s="3"/>
      <c r="M290" s="3"/>
      <c r="N290" s="3"/>
      <c r="O290" s="3"/>
      <c r="P290" s="3"/>
      <c r="Q290" s="3"/>
    </row>
    <row r="291" spans="1:17" ht="60" customHeight="1" x14ac:dyDescent="0.25">
      <c r="A291" s="9">
        <f>IF(F291="","",ROW()-19-COUNTBLANK($F$20:F291))</f>
        <v>241</v>
      </c>
      <c r="B291" s="4" t="s">
        <v>2912</v>
      </c>
      <c r="C291" s="4" t="s">
        <v>2913</v>
      </c>
      <c r="D291" s="4"/>
      <c r="E291" s="7" t="s">
        <v>2914</v>
      </c>
      <c r="F291" s="7" t="s">
        <v>2915</v>
      </c>
      <c r="G291" s="3" t="s">
        <v>55</v>
      </c>
      <c r="H291" s="3"/>
      <c r="I291" s="3"/>
      <c r="J291" s="3"/>
      <c r="K291" s="3"/>
      <c r="L291" s="3"/>
      <c r="M291" s="3"/>
      <c r="N291" s="3"/>
      <c r="O291" s="3"/>
      <c r="P291" s="3"/>
      <c r="Q291" s="3"/>
    </row>
    <row r="292" spans="1:17" ht="60" customHeight="1" x14ac:dyDescent="0.25">
      <c r="A292" s="9">
        <f>IF(F292="","",ROW()-19-COUNTBLANK($F$20:F292))</f>
        <v>242</v>
      </c>
      <c r="B292" s="4" t="s">
        <v>2916</v>
      </c>
      <c r="C292" s="4" t="s">
        <v>2917</v>
      </c>
      <c r="D292" s="4"/>
      <c r="E292" s="7" t="s">
        <v>2918</v>
      </c>
      <c r="F292" s="7" t="s">
        <v>2919</v>
      </c>
      <c r="G292" s="3" t="s">
        <v>50</v>
      </c>
      <c r="H292" s="3"/>
      <c r="I292" s="3"/>
      <c r="J292" s="3"/>
      <c r="K292" s="3"/>
      <c r="L292" s="3"/>
      <c r="M292" s="3"/>
      <c r="N292" s="3"/>
      <c r="O292" s="3"/>
      <c r="P292" s="3"/>
      <c r="Q292" s="3"/>
    </row>
    <row r="293" spans="1:17" ht="60" customHeight="1" x14ac:dyDescent="0.25">
      <c r="A293" s="9">
        <f>IF(F293="","",ROW()-19-COUNTBLANK($F$20:F293))</f>
        <v>243</v>
      </c>
      <c r="B293" s="4" t="s">
        <v>2920</v>
      </c>
      <c r="C293" s="4" t="s">
        <v>2921</v>
      </c>
      <c r="D293" s="4" t="s">
        <v>2922</v>
      </c>
      <c r="E293" s="7" t="s">
        <v>2923</v>
      </c>
      <c r="F293" s="7" t="s">
        <v>2924</v>
      </c>
      <c r="G293" s="3" t="s">
        <v>50</v>
      </c>
      <c r="H293" s="3"/>
      <c r="I293" s="3"/>
      <c r="J293" s="3"/>
      <c r="K293" s="3"/>
      <c r="L293" s="3"/>
      <c r="M293" s="3"/>
      <c r="N293" s="3"/>
      <c r="O293" s="3"/>
      <c r="P293" s="3"/>
      <c r="Q293" s="3"/>
    </row>
    <row r="294" spans="1:17" ht="60" customHeight="1" x14ac:dyDescent="0.25">
      <c r="A294" s="9">
        <f>IF(F294="","",ROW()-19-COUNTBLANK($F$20:F294))</f>
        <v>244</v>
      </c>
      <c r="B294" s="4" t="s">
        <v>2925</v>
      </c>
      <c r="C294" s="4" t="s">
        <v>2926</v>
      </c>
      <c r="D294" s="4" t="s">
        <v>2927</v>
      </c>
      <c r="E294" s="7" t="s">
        <v>2928</v>
      </c>
      <c r="F294" s="7" t="s">
        <v>2929</v>
      </c>
      <c r="G294" s="3" t="s">
        <v>50</v>
      </c>
      <c r="H294" s="3"/>
      <c r="I294" s="3"/>
      <c r="J294" s="3"/>
      <c r="K294" s="3"/>
      <c r="L294" s="3"/>
      <c r="M294" s="3"/>
      <c r="N294" s="3"/>
      <c r="O294" s="3"/>
      <c r="P294" s="3"/>
      <c r="Q294" s="3"/>
    </row>
    <row r="295" spans="1:17" ht="60" customHeight="1" x14ac:dyDescent="0.25">
      <c r="A295" s="9">
        <f>IF(F295="","",ROW()-19-COUNTBLANK($F$20:F295))</f>
        <v>245</v>
      </c>
      <c r="B295" s="4" t="s">
        <v>2930</v>
      </c>
      <c r="C295" s="4" t="s">
        <v>2931</v>
      </c>
      <c r="D295" s="4" t="s">
        <v>2932</v>
      </c>
      <c r="E295" s="7" t="s">
        <v>2933</v>
      </c>
      <c r="F295" s="7" t="s">
        <v>2934</v>
      </c>
      <c r="G295" s="3" t="s">
        <v>55</v>
      </c>
      <c r="H295" s="3"/>
      <c r="I295" s="3"/>
      <c r="J295" s="3"/>
      <c r="K295" s="3"/>
      <c r="L295" s="3"/>
      <c r="M295" s="3"/>
      <c r="N295" s="3"/>
      <c r="O295" s="3"/>
      <c r="P295" s="3"/>
      <c r="Q295" s="3"/>
    </row>
    <row r="296" spans="1:17" ht="60" customHeight="1" x14ac:dyDescent="0.25">
      <c r="A296" s="9">
        <f>IF(F296="","",ROW()-19-COUNTBLANK($F$20:F296))</f>
        <v>246</v>
      </c>
      <c r="B296" s="4" t="s">
        <v>2935</v>
      </c>
      <c r="C296" s="4" t="s">
        <v>2936</v>
      </c>
      <c r="D296" s="4" t="s">
        <v>2937</v>
      </c>
      <c r="E296" s="7" t="s">
        <v>2938</v>
      </c>
      <c r="F296" s="7" t="s">
        <v>2939</v>
      </c>
      <c r="G296" s="3" t="s">
        <v>50</v>
      </c>
      <c r="H296" s="3"/>
      <c r="I296" s="3"/>
      <c r="J296" s="3"/>
      <c r="K296" s="3"/>
      <c r="L296" s="3"/>
      <c r="M296" s="3"/>
      <c r="N296" s="3"/>
      <c r="O296" s="3"/>
      <c r="P296" s="3"/>
      <c r="Q296" s="3"/>
    </row>
    <row r="297" spans="1:17" ht="60" customHeight="1" x14ac:dyDescent="0.25">
      <c r="A297" s="9">
        <f>IF(F297="","",ROW()-19-COUNTBLANK($F$20:F297))</f>
        <v>247</v>
      </c>
      <c r="B297" s="4" t="s">
        <v>2940</v>
      </c>
      <c r="C297" s="4" t="s">
        <v>2941</v>
      </c>
      <c r="D297" s="4" t="s">
        <v>2942</v>
      </c>
      <c r="E297" s="7" t="s">
        <v>2943</v>
      </c>
      <c r="F297" s="7" t="s">
        <v>2944</v>
      </c>
      <c r="G297" s="3" t="s">
        <v>50</v>
      </c>
      <c r="H297" s="3"/>
      <c r="I297" s="3"/>
      <c r="J297" s="3"/>
      <c r="K297" s="3"/>
      <c r="L297" s="3"/>
      <c r="M297" s="3"/>
      <c r="N297" s="3"/>
      <c r="O297" s="3"/>
      <c r="P297" s="3"/>
      <c r="Q297" s="3"/>
    </row>
    <row r="298" spans="1:17" ht="60" customHeight="1" x14ac:dyDescent="0.25">
      <c r="A298" s="9">
        <f>IF(F298="","",ROW()-19-COUNTBLANK($F$20:F298))</f>
        <v>248</v>
      </c>
      <c r="B298" s="4" t="s">
        <v>2945</v>
      </c>
      <c r="C298" s="4" t="s">
        <v>2941</v>
      </c>
      <c r="D298" s="4" t="s">
        <v>2942</v>
      </c>
      <c r="E298" s="7" t="s">
        <v>2946</v>
      </c>
      <c r="F298" s="7" t="s">
        <v>2947</v>
      </c>
      <c r="G298" s="3" t="s">
        <v>50</v>
      </c>
      <c r="H298" s="3"/>
      <c r="I298" s="3"/>
      <c r="J298" s="3"/>
      <c r="K298" s="3"/>
      <c r="L298" s="3"/>
      <c r="M298" s="3"/>
      <c r="N298" s="3"/>
      <c r="O298" s="3"/>
      <c r="P298" s="3"/>
      <c r="Q298" s="3"/>
    </row>
    <row r="299" spans="1:17" ht="60" customHeight="1" x14ac:dyDescent="0.25">
      <c r="A299" s="9">
        <f>IF(F299="","",ROW()-19-COUNTBLANK($F$20:F299))</f>
        <v>249</v>
      </c>
      <c r="B299" s="4" t="s">
        <v>2948</v>
      </c>
      <c r="C299" s="4" t="s">
        <v>2949</v>
      </c>
      <c r="D299" s="4" t="s">
        <v>2950</v>
      </c>
      <c r="E299" s="7" t="s">
        <v>2951</v>
      </c>
      <c r="F299" s="7" t="s">
        <v>2952</v>
      </c>
      <c r="G299" s="3" t="s">
        <v>50</v>
      </c>
      <c r="H299" s="3"/>
      <c r="I299" s="3"/>
      <c r="J299" s="3"/>
      <c r="K299" s="3"/>
      <c r="L299" s="3"/>
      <c r="M299" s="3"/>
      <c r="N299" s="3"/>
      <c r="O299" s="3"/>
      <c r="P299" s="3"/>
      <c r="Q299" s="3"/>
    </row>
    <row r="300" spans="1:17" ht="60" customHeight="1" x14ac:dyDescent="0.25">
      <c r="A300" s="9">
        <f>IF(F300="","",ROW()-19-COUNTBLANK($F$20:F300))</f>
        <v>250</v>
      </c>
      <c r="B300" s="4" t="s">
        <v>2953</v>
      </c>
      <c r="C300" s="4" t="s">
        <v>2954</v>
      </c>
      <c r="D300" s="4" t="s">
        <v>2955</v>
      </c>
      <c r="E300" s="7" t="s">
        <v>2956</v>
      </c>
      <c r="F300" s="7" t="s">
        <v>2957</v>
      </c>
      <c r="G300" s="3" t="s">
        <v>50</v>
      </c>
      <c r="H300" s="3"/>
      <c r="I300" s="3"/>
      <c r="J300" s="3"/>
      <c r="K300" s="3"/>
      <c r="L300" s="3"/>
      <c r="M300" s="3"/>
      <c r="N300" s="3"/>
      <c r="O300" s="3"/>
      <c r="P300" s="3"/>
      <c r="Q300" s="3"/>
    </row>
    <row r="301" spans="1:17" ht="60" customHeight="1" x14ac:dyDescent="0.25">
      <c r="A301" s="9">
        <f>IF(F301="","",ROW()-19-COUNTBLANK($F$20:F301))</f>
        <v>251</v>
      </c>
      <c r="B301" s="4" t="s">
        <v>2958</v>
      </c>
      <c r="C301" s="4" t="s">
        <v>2959</v>
      </c>
      <c r="D301" s="4" t="s">
        <v>2960</v>
      </c>
      <c r="E301" s="7" t="s">
        <v>2956</v>
      </c>
      <c r="F301" s="7" t="s">
        <v>2961</v>
      </c>
      <c r="G301" s="3" t="s">
        <v>50</v>
      </c>
      <c r="H301" s="3"/>
      <c r="I301" s="3"/>
      <c r="J301" s="3"/>
      <c r="K301" s="3"/>
      <c r="L301" s="3"/>
      <c r="M301" s="3"/>
      <c r="N301" s="3"/>
      <c r="O301" s="3"/>
      <c r="P301" s="3"/>
      <c r="Q301" s="3"/>
    </row>
    <row r="302" spans="1:17" ht="60" customHeight="1" x14ac:dyDescent="0.25">
      <c r="A302" s="9">
        <f>IF(F302="","",ROW()-19-COUNTBLANK($F$20:F302))</f>
        <v>252</v>
      </c>
      <c r="B302" s="4" t="s">
        <v>2962</v>
      </c>
      <c r="C302" s="4" t="s">
        <v>2963</v>
      </c>
      <c r="D302" s="4" t="s">
        <v>2964</v>
      </c>
      <c r="E302" s="7" t="s">
        <v>2965</v>
      </c>
      <c r="F302" s="7" t="s">
        <v>2966</v>
      </c>
      <c r="G302" s="3" t="s">
        <v>50</v>
      </c>
      <c r="H302" s="3"/>
      <c r="I302" s="3"/>
      <c r="J302" s="3"/>
      <c r="K302" s="3"/>
      <c r="L302" s="3"/>
      <c r="M302" s="3"/>
      <c r="N302" s="3"/>
      <c r="O302" s="3"/>
      <c r="P302" s="3"/>
      <c r="Q302" s="3"/>
    </row>
    <row r="303" spans="1:17" ht="60" customHeight="1" x14ac:dyDescent="0.25">
      <c r="A303" s="9">
        <f>IF(F303="","",ROW()-19-COUNTBLANK($F$20:F303))</f>
        <v>253</v>
      </c>
      <c r="B303" s="4" t="s">
        <v>2967</v>
      </c>
      <c r="C303" s="4" t="s">
        <v>2968</v>
      </c>
      <c r="D303" s="4" t="s">
        <v>2955</v>
      </c>
      <c r="E303" s="7" t="s">
        <v>2969</v>
      </c>
      <c r="F303" s="7" t="s">
        <v>2957</v>
      </c>
      <c r="G303" s="3" t="s">
        <v>50</v>
      </c>
      <c r="H303" s="3"/>
      <c r="I303" s="3"/>
      <c r="J303" s="3"/>
      <c r="K303" s="3"/>
      <c r="L303" s="3"/>
      <c r="M303" s="3"/>
      <c r="N303" s="3"/>
      <c r="O303" s="3"/>
      <c r="P303" s="3"/>
      <c r="Q303" s="3"/>
    </row>
    <row r="304" spans="1:17" ht="60" customHeight="1" x14ac:dyDescent="0.25">
      <c r="A304" s="9">
        <f>IF(F304="","",ROW()-19-COUNTBLANK($F$20:F304))</f>
        <v>254</v>
      </c>
      <c r="B304" s="4" t="s">
        <v>2970</v>
      </c>
      <c r="C304" s="4" t="s">
        <v>2971</v>
      </c>
      <c r="D304" s="4" t="s">
        <v>2960</v>
      </c>
      <c r="E304" s="7" t="s">
        <v>2969</v>
      </c>
      <c r="F304" s="7" t="s">
        <v>2961</v>
      </c>
      <c r="G304" s="3" t="s">
        <v>50</v>
      </c>
      <c r="H304" s="3"/>
      <c r="I304" s="3"/>
      <c r="J304" s="3"/>
      <c r="K304" s="3"/>
      <c r="L304" s="3"/>
      <c r="M304" s="3"/>
      <c r="N304" s="3"/>
      <c r="O304" s="3"/>
      <c r="P304" s="3"/>
      <c r="Q304" s="3"/>
    </row>
    <row r="305" spans="1:17" ht="60" customHeight="1" x14ac:dyDescent="0.25">
      <c r="A305" s="9">
        <f>IF(F305="","",ROW()-19-COUNTBLANK($F$20:F305))</f>
        <v>255</v>
      </c>
      <c r="B305" s="4" t="s">
        <v>2972</v>
      </c>
      <c r="C305" s="4" t="s">
        <v>2973</v>
      </c>
      <c r="D305" s="4" t="s">
        <v>2964</v>
      </c>
      <c r="E305" s="7" t="s">
        <v>2974</v>
      </c>
      <c r="F305" s="7" t="s">
        <v>2966</v>
      </c>
      <c r="G305" s="3" t="s">
        <v>50</v>
      </c>
      <c r="H305" s="3"/>
      <c r="I305" s="3"/>
      <c r="J305" s="3"/>
      <c r="K305" s="3"/>
      <c r="L305" s="3"/>
      <c r="M305" s="3"/>
      <c r="N305" s="3"/>
      <c r="O305" s="3"/>
      <c r="P305" s="3"/>
      <c r="Q305" s="3"/>
    </row>
  </sheetData>
  <mergeCells count="47">
    <mergeCell ref="G15:G17"/>
    <mergeCell ref="B142:B158"/>
    <mergeCell ref="B252:B255"/>
    <mergeCell ref="I16:N16"/>
    <mergeCell ref="C145:C148"/>
    <mergeCell ref="A15:A17"/>
    <mergeCell ref="B1:F1"/>
    <mergeCell ref="B240:B245"/>
    <mergeCell ref="C193:C198"/>
    <mergeCell ref="C15:C17"/>
    <mergeCell ref="B234:F234"/>
    <mergeCell ref="C132:C137"/>
    <mergeCell ref="B19:F19"/>
    <mergeCell ref="C72:C73"/>
    <mergeCell ref="C138:C141"/>
    <mergeCell ref="F15:F17"/>
    <mergeCell ref="B186:B202"/>
    <mergeCell ref="C155:C158"/>
    <mergeCell ref="C199:C202"/>
    <mergeCell ref="C149:C154"/>
    <mergeCell ref="E15:E17"/>
    <mergeCell ref="Q15:Q17"/>
    <mergeCell ref="B72:B75"/>
    <mergeCell ref="B203:B219"/>
    <mergeCell ref="B15:B17"/>
    <mergeCell ref="C203:C205"/>
    <mergeCell ref="B18:F18"/>
    <mergeCell ref="C128:C131"/>
    <mergeCell ref="C186:C188"/>
    <mergeCell ref="C125:C127"/>
    <mergeCell ref="H15:H17"/>
    <mergeCell ref="B66:B68"/>
    <mergeCell ref="P15:P17"/>
    <mergeCell ref="C189:C192"/>
    <mergeCell ref="O15:O17"/>
    <mergeCell ref="I15:N15"/>
    <mergeCell ref="B69:B71"/>
    <mergeCell ref="C216:C219"/>
    <mergeCell ref="B125:B141"/>
    <mergeCell ref="B268:B271"/>
    <mergeCell ref="D15:D17"/>
    <mergeCell ref="C210:C215"/>
    <mergeCell ref="C206:C209"/>
    <mergeCell ref="B264:B267"/>
    <mergeCell ref="B256:B258"/>
    <mergeCell ref="B260:B263"/>
    <mergeCell ref="C142:C14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93"/>
  <sheetViews>
    <sheetView workbookViewId="0"/>
  </sheetViews>
  <sheetFormatPr defaultRowHeight="15" x14ac:dyDescent="0.25"/>
  <cols>
    <col min="1" max="1" width="13" customWidth="1"/>
    <col min="2" max="2" width="33.5703125" customWidth="1"/>
    <col min="3" max="4" width="28" customWidth="1"/>
    <col min="5" max="5" width="44.28515625" customWidth="1"/>
    <col min="6" max="6" width="59.7109375" customWidth="1"/>
    <col min="7" max="7" width="12.5703125" customWidth="1"/>
    <col min="8" max="17" width="13" customWidth="1"/>
  </cols>
  <sheetData>
    <row r="1" spans="1:17" x14ac:dyDescent="0.25">
      <c r="B1" s="25" t="s">
        <v>20</v>
      </c>
      <c r="C1" s="14"/>
      <c r="D1" s="14"/>
      <c r="E1" s="14"/>
      <c r="F1" s="14"/>
    </row>
    <row r="3" spans="1:17" ht="94.5" x14ac:dyDescent="0.25">
      <c r="B3" s="6" t="s">
        <v>21</v>
      </c>
      <c r="C3" s="7" t="s">
        <v>16</v>
      </c>
      <c r="E3" s="6" t="s">
        <v>22</v>
      </c>
      <c r="F3" s="8"/>
    </row>
    <row r="4" spans="1:17" ht="15.75" x14ac:dyDescent="0.25">
      <c r="B4" s="6" t="s">
        <v>23</v>
      </c>
      <c r="C4" s="7" t="s">
        <v>24</v>
      </c>
      <c r="E4" s="6" t="s">
        <v>25</v>
      </c>
    </row>
    <row r="6" spans="1:17" ht="15.75" x14ac:dyDescent="0.25">
      <c r="B6" s="6" t="s">
        <v>3</v>
      </c>
    </row>
    <row r="7" spans="1:17" ht="15.75" x14ac:dyDescent="0.25">
      <c r="B7" s="6" t="s">
        <v>4</v>
      </c>
      <c r="C7" s="9">
        <f>COUNTIF($O$20:$O$293,"P")</f>
        <v>0</v>
      </c>
    </row>
    <row r="8" spans="1:17" ht="31.5" x14ac:dyDescent="0.25">
      <c r="B8" s="6" t="s">
        <v>5</v>
      </c>
      <c r="C8" s="9">
        <f>COUNTIF($O$20:$O$293,"F")</f>
        <v>0</v>
      </c>
    </row>
    <row r="9" spans="1:17" ht="31.5" x14ac:dyDescent="0.25">
      <c r="B9" s="6" t="s">
        <v>6</v>
      </c>
      <c r="C9" s="9">
        <f>COUNTIF($O$20:$O$293,"PE")</f>
        <v>0</v>
      </c>
    </row>
    <row r="10" spans="1:17" ht="31.5" x14ac:dyDescent="0.25">
      <c r="B10" s="6" t="s">
        <v>7</v>
      </c>
      <c r="C10" s="9">
        <f>C11-C7-C8-C9</f>
        <v>243</v>
      </c>
    </row>
    <row r="11" spans="1:17" ht="15.75" x14ac:dyDescent="0.25">
      <c r="B11" s="6" t="s">
        <v>8</v>
      </c>
      <c r="C11" s="9">
        <f>COUNTA($F$20:$F$293)</f>
        <v>243</v>
      </c>
    </row>
    <row r="15" spans="1:17" x14ac:dyDescent="0.25">
      <c r="A15" s="20" t="s">
        <v>26</v>
      </c>
      <c r="B15" s="20" t="s">
        <v>27</v>
      </c>
      <c r="C15" s="20" t="s">
        <v>28</v>
      </c>
      <c r="D15" s="20" t="s">
        <v>29</v>
      </c>
      <c r="E15" s="20" t="s">
        <v>30</v>
      </c>
      <c r="F15" s="20" t="s">
        <v>31</v>
      </c>
      <c r="G15" s="20" t="s">
        <v>32</v>
      </c>
      <c r="H15" s="20" t="s">
        <v>33</v>
      </c>
      <c r="I15" s="20" t="s">
        <v>34</v>
      </c>
      <c r="J15" s="14"/>
      <c r="K15" s="14"/>
      <c r="L15" s="14"/>
      <c r="M15" s="14"/>
      <c r="N15" s="14"/>
      <c r="O15" s="20" t="s">
        <v>35</v>
      </c>
      <c r="P15" s="20" t="s">
        <v>36</v>
      </c>
      <c r="Q15" s="20" t="s">
        <v>37</v>
      </c>
    </row>
    <row r="16" spans="1:17" x14ac:dyDescent="0.25">
      <c r="A16" s="14"/>
      <c r="B16" s="14"/>
      <c r="C16" s="14"/>
      <c r="D16" s="14"/>
      <c r="E16" s="14"/>
      <c r="F16" s="14"/>
      <c r="G16" s="14"/>
      <c r="H16" s="14"/>
      <c r="I16" s="20" t="s">
        <v>38</v>
      </c>
      <c r="J16" s="14"/>
      <c r="K16" s="14"/>
      <c r="L16" s="14"/>
      <c r="M16" s="14"/>
      <c r="N16" s="14"/>
      <c r="O16" s="14"/>
      <c r="P16" s="14"/>
      <c r="Q16" s="14"/>
    </row>
    <row r="17" spans="1:17" ht="31.5" x14ac:dyDescent="0.25">
      <c r="A17" s="14"/>
      <c r="B17" s="14"/>
      <c r="C17" s="14"/>
      <c r="D17" s="14"/>
      <c r="E17" s="14"/>
      <c r="F17" s="14"/>
      <c r="G17" s="14"/>
      <c r="H17" s="14"/>
      <c r="I17" s="10" t="s">
        <v>39</v>
      </c>
      <c r="J17" s="10" t="s">
        <v>40</v>
      </c>
      <c r="K17" s="10" t="s">
        <v>41</v>
      </c>
      <c r="L17" s="10" t="s">
        <v>40</v>
      </c>
      <c r="M17" s="10" t="s">
        <v>42</v>
      </c>
      <c r="N17" s="10" t="s">
        <v>40</v>
      </c>
      <c r="O17" s="14"/>
      <c r="P17" s="14"/>
      <c r="Q17" s="14"/>
    </row>
    <row r="18" spans="1:17" ht="80.099999999999994" customHeight="1" x14ac:dyDescent="0.25">
      <c r="B18" s="21" t="s">
        <v>2326</v>
      </c>
      <c r="C18" s="14"/>
      <c r="D18" s="14"/>
      <c r="E18" s="14"/>
      <c r="F18" s="14"/>
    </row>
    <row r="19" spans="1:17" ht="20.100000000000001" customHeight="1" x14ac:dyDescent="0.25">
      <c r="A19" s="11"/>
      <c r="B19" s="22" t="s">
        <v>44</v>
      </c>
      <c r="C19" s="23"/>
      <c r="D19" s="23"/>
      <c r="E19" s="23"/>
      <c r="F19" s="24"/>
      <c r="G19" s="11"/>
      <c r="H19" s="11"/>
      <c r="I19" s="11"/>
      <c r="J19" s="11"/>
      <c r="K19" s="11"/>
      <c r="L19" s="11"/>
      <c r="M19" s="11"/>
      <c r="N19" s="11"/>
      <c r="O19" s="11"/>
      <c r="P19" s="11"/>
      <c r="Q19" s="11"/>
    </row>
    <row r="20" spans="1:17" ht="20.100000000000001" customHeight="1" x14ac:dyDescent="0.25">
      <c r="A20" s="9" t="str">
        <f>IF(F20="","",ROW()-19-COUNTBLANK($F$20:F20))</f>
        <v/>
      </c>
      <c r="B20" s="12" t="s">
        <v>45</v>
      </c>
      <c r="C20" s="12"/>
      <c r="D20" s="12"/>
      <c r="E20" s="12"/>
      <c r="F20" s="12"/>
      <c r="G20" s="12"/>
      <c r="H20" s="12"/>
      <c r="I20" s="12"/>
      <c r="J20" s="12"/>
      <c r="K20" s="12"/>
      <c r="L20" s="12"/>
      <c r="M20" s="12"/>
      <c r="N20" s="12"/>
      <c r="O20" s="12"/>
      <c r="P20" s="12"/>
      <c r="Q20" s="12"/>
    </row>
    <row r="21" spans="1:17" ht="60" customHeight="1" x14ac:dyDescent="0.25">
      <c r="A21" s="9">
        <f>IF(F21="","",ROW()-19-COUNTBLANK($F$20:F21))</f>
        <v>1</v>
      </c>
      <c r="B21" s="4" t="s">
        <v>46</v>
      </c>
      <c r="C21" s="4" t="s">
        <v>2975</v>
      </c>
      <c r="D21" s="4"/>
      <c r="E21" s="7" t="s">
        <v>2976</v>
      </c>
      <c r="F21" s="7" t="s">
        <v>2977</v>
      </c>
      <c r="G21" s="3" t="s">
        <v>50</v>
      </c>
      <c r="H21" s="3"/>
      <c r="I21" s="3"/>
      <c r="J21" s="3"/>
      <c r="K21" s="3"/>
      <c r="L21" s="3"/>
      <c r="M21" s="3"/>
      <c r="N21" s="3"/>
      <c r="O21" s="3"/>
      <c r="P21" s="3"/>
      <c r="Q21" s="3"/>
    </row>
    <row r="22" spans="1:17" ht="60" customHeight="1" x14ac:dyDescent="0.25">
      <c r="A22" s="9">
        <f>IF(F22="","",ROW()-19-COUNTBLANK($F$20:F22))</f>
        <v>2</v>
      </c>
      <c r="B22" s="4" t="s">
        <v>51</v>
      </c>
      <c r="C22" s="4" t="s">
        <v>52</v>
      </c>
      <c r="D22" s="4"/>
      <c r="E22" s="7" t="s">
        <v>2978</v>
      </c>
      <c r="F22" s="7" t="s">
        <v>54</v>
      </c>
      <c r="G22" s="3" t="s">
        <v>55</v>
      </c>
      <c r="H22" s="3"/>
      <c r="I22" s="3"/>
      <c r="J22" s="3"/>
      <c r="K22" s="3"/>
      <c r="L22" s="3"/>
      <c r="M22" s="3"/>
      <c r="N22" s="3"/>
      <c r="O22" s="3"/>
      <c r="P22" s="3"/>
      <c r="Q22" s="3"/>
    </row>
    <row r="23" spans="1:17" ht="60" customHeight="1" x14ac:dyDescent="0.25">
      <c r="A23" s="9">
        <f>IF(F23="","",ROW()-19-COUNTBLANK($F$20:F23))</f>
        <v>3</v>
      </c>
      <c r="B23" s="4" t="s">
        <v>56</v>
      </c>
      <c r="C23" s="4" t="s">
        <v>57</v>
      </c>
      <c r="D23" s="4"/>
      <c r="E23" s="7" t="s">
        <v>2979</v>
      </c>
      <c r="F23" s="7" t="s">
        <v>2332</v>
      </c>
      <c r="G23" s="3" t="s">
        <v>55</v>
      </c>
      <c r="H23" s="3"/>
      <c r="I23" s="3"/>
      <c r="J23" s="3"/>
      <c r="K23" s="3"/>
      <c r="L23" s="3"/>
      <c r="M23" s="3"/>
      <c r="N23" s="3"/>
      <c r="O23" s="3"/>
      <c r="P23" s="3"/>
      <c r="Q23" s="3"/>
    </row>
    <row r="24" spans="1:17" ht="60" customHeight="1" x14ac:dyDescent="0.25">
      <c r="A24" s="9">
        <f>IF(F24="","",ROW()-19-COUNTBLANK($F$20:F24))</f>
        <v>4</v>
      </c>
      <c r="B24" s="4" t="s">
        <v>60</v>
      </c>
      <c r="C24" s="4" t="s">
        <v>61</v>
      </c>
      <c r="D24" s="4"/>
      <c r="E24" s="7" t="s">
        <v>2980</v>
      </c>
      <c r="F24" s="7" t="s">
        <v>63</v>
      </c>
      <c r="G24" s="3" t="s">
        <v>55</v>
      </c>
      <c r="H24" s="3"/>
      <c r="I24" s="3"/>
      <c r="J24" s="3"/>
      <c r="K24" s="3"/>
      <c r="L24" s="3"/>
      <c r="M24" s="3"/>
      <c r="N24" s="3"/>
      <c r="O24" s="3"/>
      <c r="P24" s="3"/>
      <c r="Q24" s="3"/>
    </row>
    <row r="25" spans="1:17" ht="60" customHeight="1" x14ac:dyDescent="0.25">
      <c r="A25" s="9">
        <f>IF(F25="","",ROW()-19-COUNTBLANK($F$20:F25))</f>
        <v>5</v>
      </c>
      <c r="B25" s="4" t="s">
        <v>64</v>
      </c>
      <c r="C25" s="4" t="s">
        <v>65</v>
      </c>
      <c r="D25" s="4"/>
      <c r="E25" s="7" t="s">
        <v>2981</v>
      </c>
      <c r="F25" s="7" t="s">
        <v>2335</v>
      </c>
      <c r="G25" s="3" t="s">
        <v>55</v>
      </c>
      <c r="H25" s="3"/>
      <c r="I25" s="3"/>
      <c r="J25" s="3"/>
      <c r="K25" s="3"/>
      <c r="L25" s="3"/>
      <c r="M25" s="3"/>
      <c r="N25" s="3"/>
      <c r="O25" s="3"/>
      <c r="P25" s="3"/>
      <c r="Q25" s="3"/>
    </row>
    <row r="26" spans="1:17" ht="60" customHeight="1" x14ac:dyDescent="0.25">
      <c r="A26" s="9">
        <f>IF(F26="","",ROW()-19-COUNTBLANK($F$20:F26))</f>
        <v>6</v>
      </c>
      <c r="B26" s="4" t="s">
        <v>68</v>
      </c>
      <c r="C26" s="4" t="s">
        <v>69</v>
      </c>
      <c r="D26" s="4" t="s">
        <v>70</v>
      </c>
      <c r="E26" s="7" t="s">
        <v>2982</v>
      </c>
      <c r="F26" s="7" t="s">
        <v>72</v>
      </c>
      <c r="G26" s="3" t="s">
        <v>73</v>
      </c>
      <c r="H26" s="3"/>
      <c r="I26" s="3"/>
      <c r="J26" s="3"/>
      <c r="K26" s="3"/>
      <c r="L26" s="3"/>
      <c r="M26" s="3"/>
      <c r="N26" s="3"/>
      <c r="O26" s="3"/>
      <c r="P26" s="3"/>
      <c r="Q26" s="3"/>
    </row>
    <row r="27" spans="1:17" ht="60" customHeight="1" x14ac:dyDescent="0.25">
      <c r="A27" s="9">
        <f>IF(F27="","",ROW()-19-COUNTBLANK($F$20:F27))</f>
        <v>7</v>
      </c>
      <c r="B27" s="4" t="s">
        <v>74</v>
      </c>
      <c r="C27" s="4" t="s">
        <v>75</v>
      </c>
      <c r="D27" s="4" t="s">
        <v>76</v>
      </c>
      <c r="E27" s="7" t="s">
        <v>2983</v>
      </c>
      <c r="F27" s="7" t="s">
        <v>78</v>
      </c>
      <c r="G27" s="3" t="s">
        <v>73</v>
      </c>
      <c r="H27" s="3"/>
      <c r="I27" s="3"/>
      <c r="J27" s="3"/>
      <c r="K27" s="3"/>
      <c r="L27" s="3"/>
      <c r="M27" s="3"/>
      <c r="N27" s="3"/>
      <c r="O27" s="3"/>
      <c r="P27" s="3"/>
      <c r="Q27" s="3"/>
    </row>
    <row r="28" spans="1:17" ht="20.100000000000001" customHeight="1" x14ac:dyDescent="0.25">
      <c r="A28" s="9" t="str">
        <f>IF(F28="","",ROW()-19-COUNTBLANK($F$20:F28))</f>
        <v/>
      </c>
      <c r="B28" s="12" t="s">
        <v>91</v>
      </c>
      <c r="C28" s="12"/>
      <c r="D28" s="12"/>
      <c r="E28" s="12"/>
      <c r="F28" s="12"/>
      <c r="G28" s="12"/>
      <c r="H28" s="12"/>
      <c r="I28" s="12"/>
      <c r="J28" s="12"/>
      <c r="K28" s="12"/>
      <c r="L28" s="12"/>
      <c r="M28" s="12"/>
      <c r="N28" s="12"/>
      <c r="O28" s="12"/>
      <c r="P28" s="12"/>
      <c r="Q28" s="12"/>
    </row>
    <row r="29" spans="1:17" ht="60" customHeight="1" x14ac:dyDescent="0.25">
      <c r="A29" s="9">
        <f>IF(F29="","",ROW()-19-COUNTBLANK($F$20:F29))</f>
        <v>8</v>
      </c>
      <c r="B29" s="4" t="s">
        <v>92</v>
      </c>
      <c r="C29" s="4" t="s">
        <v>93</v>
      </c>
      <c r="D29" s="4"/>
      <c r="E29" s="7" t="s">
        <v>2984</v>
      </c>
      <c r="F29" s="7" t="s">
        <v>95</v>
      </c>
      <c r="G29" s="3" t="s">
        <v>73</v>
      </c>
      <c r="H29" s="3"/>
      <c r="I29" s="3"/>
      <c r="J29" s="3"/>
      <c r="K29" s="3"/>
      <c r="L29" s="3"/>
      <c r="M29" s="3"/>
      <c r="N29" s="3"/>
      <c r="O29" s="3"/>
      <c r="P29" s="3"/>
      <c r="Q29" s="3"/>
    </row>
    <row r="30" spans="1:17" ht="60" customHeight="1" x14ac:dyDescent="0.25">
      <c r="A30" s="9">
        <f>IF(F30="","",ROW()-19-COUNTBLANK($F$20:F30))</f>
        <v>9</v>
      </c>
      <c r="B30" s="4" t="s">
        <v>96</v>
      </c>
      <c r="C30" s="4" t="s">
        <v>97</v>
      </c>
      <c r="D30" s="4"/>
      <c r="E30" s="7" t="s">
        <v>2985</v>
      </c>
      <c r="F30" s="7" t="s">
        <v>2340</v>
      </c>
      <c r="G30" s="3" t="s">
        <v>55</v>
      </c>
      <c r="H30" s="3"/>
      <c r="I30" s="3"/>
      <c r="J30" s="3"/>
      <c r="K30" s="3"/>
      <c r="L30" s="3"/>
      <c r="M30" s="3"/>
      <c r="N30" s="3"/>
      <c r="O30" s="3"/>
      <c r="P30" s="3"/>
      <c r="Q30" s="3"/>
    </row>
    <row r="31" spans="1:17" ht="60" customHeight="1" x14ac:dyDescent="0.25">
      <c r="A31" s="9">
        <f>IF(F31="","",ROW()-19-COUNTBLANK($F$20:F31))</f>
        <v>10</v>
      </c>
      <c r="B31" s="4" t="s">
        <v>100</v>
      </c>
      <c r="C31" s="4" t="s">
        <v>101</v>
      </c>
      <c r="D31" s="4"/>
      <c r="E31" s="7" t="s">
        <v>2986</v>
      </c>
      <c r="F31" s="7" t="s">
        <v>103</v>
      </c>
      <c r="G31" s="3" t="s">
        <v>50</v>
      </c>
      <c r="H31" s="3"/>
      <c r="I31" s="3"/>
      <c r="J31" s="3"/>
      <c r="K31" s="3"/>
      <c r="L31" s="3"/>
      <c r="M31" s="3"/>
      <c r="N31" s="3"/>
      <c r="O31" s="3"/>
      <c r="P31" s="3"/>
      <c r="Q31" s="3"/>
    </row>
    <row r="32" spans="1:17" ht="60" customHeight="1" x14ac:dyDescent="0.25">
      <c r="A32" s="9">
        <f>IF(F32="","",ROW()-19-COUNTBLANK($F$20:F32))</f>
        <v>11</v>
      </c>
      <c r="B32" s="4" t="s">
        <v>104</v>
      </c>
      <c r="C32" s="4" t="s">
        <v>105</v>
      </c>
      <c r="D32" s="4" t="s">
        <v>106</v>
      </c>
      <c r="E32" s="7" t="s">
        <v>2987</v>
      </c>
      <c r="F32" s="7" t="s">
        <v>108</v>
      </c>
      <c r="G32" s="3" t="s">
        <v>50</v>
      </c>
      <c r="H32" s="3"/>
      <c r="I32" s="3"/>
      <c r="J32" s="3"/>
      <c r="K32" s="3"/>
      <c r="L32" s="3"/>
      <c r="M32" s="3"/>
      <c r="N32" s="3"/>
      <c r="O32" s="3"/>
      <c r="P32" s="3"/>
      <c r="Q32" s="3"/>
    </row>
    <row r="33" spans="1:17" ht="60" customHeight="1" x14ac:dyDescent="0.25">
      <c r="A33" s="9">
        <f>IF(F33="","",ROW()-19-COUNTBLANK($F$20:F33))</f>
        <v>12</v>
      </c>
      <c r="B33" s="4" t="s">
        <v>109</v>
      </c>
      <c r="C33" s="4" t="s">
        <v>110</v>
      </c>
      <c r="D33" s="4"/>
      <c r="E33" s="7" t="s">
        <v>2988</v>
      </c>
      <c r="F33" s="7" t="s">
        <v>112</v>
      </c>
      <c r="G33" s="3" t="s">
        <v>55</v>
      </c>
      <c r="H33" s="3"/>
      <c r="I33" s="3"/>
      <c r="J33" s="3"/>
      <c r="K33" s="3"/>
      <c r="L33" s="3"/>
      <c r="M33" s="3"/>
      <c r="N33" s="3"/>
      <c r="O33" s="3"/>
      <c r="P33" s="3"/>
      <c r="Q33" s="3"/>
    </row>
    <row r="34" spans="1:17" ht="20.100000000000001" customHeight="1" x14ac:dyDescent="0.25">
      <c r="A34" s="9" t="str">
        <f>IF(F34="","",ROW()-19-COUNTBLANK($F$20:F34))</f>
        <v/>
      </c>
      <c r="B34" s="12" t="s">
        <v>2344</v>
      </c>
      <c r="C34" s="12"/>
      <c r="D34" s="12"/>
      <c r="E34" s="12"/>
      <c r="F34" s="12"/>
      <c r="G34" s="12"/>
      <c r="H34" s="12"/>
      <c r="I34" s="12"/>
      <c r="J34" s="12"/>
      <c r="K34" s="12"/>
      <c r="L34" s="12"/>
      <c r="M34" s="12"/>
      <c r="N34" s="12"/>
      <c r="O34" s="12"/>
      <c r="P34" s="12"/>
      <c r="Q34" s="12"/>
    </row>
    <row r="35" spans="1:17" ht="60" customHeight="1" x14ac:dyDescent="0.25">
      <c r="A35" s="9">
        <f>IF(F35="","",ROW()-19-COUNTBLANK($F$20:F35))</f>
        <v>13</v>
      </c>
      <c r="B35" s="4" t="s">
        <v>85</v>
      </c>
      <c r="C35" s="4" t="s">
        <v>85</v>
      </c>
      <c r="D35" s="4"/>
      <c r="E35" s="7" t="s">
        <v>2989</v>
      </c>
      <c r="F35" s="7" t="s">
        <v>2346</v>
      </c>
      <c r="G35" s="3" t="s">
        <v>73</v>
      </c>
      <c r="H35" s="3"/>
      <c r="I35" s="3"/>
      <c r="J35" s="3"/>
      <c r="K35" s="3"/>
      <c r="L35" s="3"/>
      <c r="M35" s="3"/>
      <c r="N35" s="3"/>
      <c r="O35" s="3"/>
      <c r="P35" s="3"/>
      <c r="Q35" s="3"/>
    </row>
    <row r="36" spans="1:17" ht="60" customHeight="1" x14ac:dyDescent="0.25">
      <c r="A36" s="9">
        <f>IF(F36="","",ROW()-19-COUNTBLANK($F$20:F36))</f>
        <v>14</v>
      </c>
      <c r="B36" s="4" t="s">
        <v>88</v>
      </c>
      <c r="C36" s="4" t="s">
        <v>88</v>
      </c>
      <c r="D36" s="4"/>
      <c r="E36" s="7" t="s">
        <v>2990</v>
      </c>
      <c r="F36" s="7" t="s">
        <v>90</v>
      </c>
      <c r="G36" s="3" t="s">
        <v>73</v>
      </c>
      <c r="H36" s="3"/>
      <c r="I36" s="3"/>
      <c r="J36" s="3"/>
      <c r="K36" s="3"/>
      <c r="L36" s="3"/>
      <c r="M36" s="3"/>
      <c r="N36" s="3"/>
      <c r="O36" s="3"/>
      <c r="P36" s="3"/>
      <c r="Q36" s="3"/>
    </row>
    <row r="37" spans="1:17" ht="20.100000000000001" customHeight="1" x14ac:dyDescent="0.25">
      <c r="A37" s="9" t="str">
        <f>IF(F37="","",ROW()-19-COUNTBLANK($F$20:F37))</f>
        <v/>
      </c>
      <c r="B37" s="12" t="s">
        <v>2348</v>
      </c>
      <c r="C37" s="12"/>
      <c r="D37" s="12"/>
      <c r="E37" s="12"/>
      <c r="F37" s="12"/>
      <c r="G37" s="12"/>
      <c r="H37" s="12"/>
      <c r="I37" s="12"/>
      <c r="J37" s="12"/>
      <c r="K37" s="12"/>
      <c r="L37" s="12"/>
      <c r="M37" s="12"/>
      <c r="N37" s="12"/>
      <c r="O37" s="12"/>
      <c r="P37" s="12"/>
      <c r="Q37" s="12"/>
    </row>
    <row r="38" spans="1:17" ht="60" customHeight="1" x14ac:dyDescent="0.25">
      <c r="A38" s="9">
        <f>IF(F38="","",ROW()-19-COUNTBLANK($F$20:F38))</f>
        <v>15</v>
      </c>
      <c r="B38" s="4" t="s">
        <v>2349</v>
      </c>
      <c r="C38" s="4" t="s">
        <v>1610</v>
      </c>
      <c r="D38" s="4"/>
      <c r="E38" s="7" t="s">
        <v>2991</v>
      </c>
      <c r="F38" s="7" t="s">
        <v>2351</v>
      </c>
      <c r="G38" s="3" t="s">
        <v>55</v>
      </c>
      <c r="H38" s="3"/>
      <c r="I38" s="3"/>
      <c r="J38" s="3"/>
      <c r="K38" s="3"/>
      <c r="L38" s="3"/>
      <c r="M38" s="3"/>
      <c r="N38" s="3"/>
      <c r="O38" s="3"/>
      <c r="P38" s="3"/>
      <c r="Q38" s="3"/>
    </row>
    <row r="39" spans="1:17" ht="60" customHeight="1" x14ac:dyDescent="0.25">
      <c r="A39" s="9">
        <f>IF(F39="","",ROW()-19-COUNTBLANK($F$20:F39))</f>
        <v>16</v>
      </c>
      <c r="B39" s="4" t="s">
        <v>2352</v>
      </c>
      <c r="C39" s="4" t="s">
        <v>1618</v>
      </c>
      <c r="D39" s="4"/>
      <c r="E39" s="7" t="s">
        <v>2992</v>
      </c>
      <c r="F39" s="7" t="s">
        <v>2354</v>
      </c>
      <c r="G39" s="3" t="s">
        <v>55</v>
      </c>
      <c r="H39" s="3"/>
      <c r="I39" s="3"/>
      <c r="J39" s="3"/>
      <c r="K39" s="3"/>
      <c r="L39" s="3"/>
      <c r="M39" s="3"/>
      <c r="N39" s="3"/>
      <c r="O39" s="3"/>
      <c r="P39" s="3"/>
      <c r="Q39" s="3"/>
    </row>
    <row r="40" spans="1:17" ht="60" customHeight="1" x14ac:dyDescent="0.25">
      <c r="A40" s="9">
        <f>IF(F40="","",ROW()-19-COUNTBLANK($F$20:F40))</f>
        <v>17</v>
      </c>
      <c r="B40" s="4" t="s">
        <v>2355</v>
      </c>
      <c r="C40" s="4" t="s">
        <v>1622</v>
      </c>
      <c r="D40" s="4"/>
      <c r="E40" s="7" t="s">
        <v>2993</v>
      </c>
      <c r="F40" s="7" t="s">
        <v>2357</v>
      </c>
      <c r="G40" s="3" t="s">
        <v>55</v>
      </c>
      <c r="H40" s="3"/>
      <c r="I40" s="3"/>
      <c r="J40" s="3"/>
      <c r="K40" s="3"/>
      <c r="L40" s="3"/>
      <c r="M40" s="3"/>
      <c r="N40" s="3"/>
      <c r="O40" s="3"/>
      <c r="P40" s="3"/>
      <c r="Q40" s="3"/>
    </row>
    <row r="41" spans="1:17" ht="60" customHeight="1" x14ac:dyDescent="0.25">
      <c r="A41" s="9">
        <f>IF(F41="","",ROW()-19-COUNTBLANK($F$20:F41))</f>
        <v>18</v>
      </c>
      <c r="B41" s="4" t="s">
        <v>2358</v>
      </c>
      <c r="C41" s="4" t="s">
        <v>1614</v>
      </c>
      <c r="D41" s="4"/>
      <c r="E41" s="7" t="s">
        <v>2994</v>
      </c>
      <c r="F41" s="7" t="s">
        <v>2360</v>
      </c>
      <c r="G41" s="3" t="s">
        <v>55</v>
      </c>
      <c r="H41" s="3"/>
      <c r="I41" s="3"/>
      <c r="J41" s="3"/>
      <c r="K41" s="3"/>
      <c r="L41" s="3"/>
      <c r="M41" s="3"/>
      <c r="N41" s="3"/>
      <c r="O41" s="3"/>
      <c r="P41" s="3"/>
      <c r="Q41" s="3"/>
    </row>
    <row r="42" spans="1:17" ht="60" customHeight="1" x14ac:dyDescent="0.25">
      <c r="A42" s="9">
        <f>IF(F42="","",ROW()-19-COUNTBLANK($F$20:F42))</f>
        <v>19</v>
      </c>
      <c r="B42" s="4" t="s">
        <v>2361</v>
      </c>
      <c r="C42" s="4" t="s">
        <v>2362</v>
      </c>
      <c r="D42" s="4"/>
      <c r="E42" s="7" t="s">
        <v>2995</v>
      </c>
      <c r="F42" s="7" t="s">
        <v>2364</v>
      </c>
      <c r="G42" s="3" t="s">
        <v>55</v>
      </c>
      <c r="H42" s="3"/>
      <c r="I42" s="3"/>
      <c r="J42" s="3"/>
      <c r="K42" s="3"/>
      <c r="L42" s="3"/>
      <c r="M42" s="3"/>
      <c r="N42" s="3"/>
      <c r="O42" s="3"/>
      <c r="P42" s="3"/>
      <c r="Q42" s="3"/>
    </row>
    <row r="43" spans="1:17" ht="60" customHeight="1" x14ac:dyDescent="0.25">
      <c r="A43" s="9">
        <f>IF(F43="","",ROW()-19-COUNTBLANK($F$20:F43))</f>
        <v>20</v>
      </c>
      <c r="B43" s="4" t="s">
        <v>2365</v>
      </c>
      <c r="C43" s="4" t="s">
        <v>2366</v>
      </c>
      <c r="D43" s="4"/>
      <c r="E43" s="7" t="s">
        <v>2996</v>
      </c>
      <c r="F43" s="7" t="s">
        <v>2368</v>
      </c>
      <c r="G43" s="3" t="s">
        <v>55</v>
      </c>
      <c r="H43" s="3"/>
      <c r="I43" s="3"/>
      <c r="J43" s="3"/>
      <c r="K43" s="3"/>
      <c r="L43" s="3"/>
      <c r="M43" s="3"/>
      <c r="N43" s="3"/>
      <c r="O43" s="3"/>
      <c r="P43" s="3"/>
      <c r="Q43" s="3"/>
    </row>
    <row r="44" spans="1:17" ht="20.100000000000001" customHeight="1" x14ac:dyDescent="0.25">
      <c r="A44" s="9" t="str">
        <f>IF(F44="","",ROW()-19-COUNTBLANK($F$20:F44))</f>
        <v/>
      </c>
      <c r="B44" s="12" t="s">
        <v>2369</v>
      </c>
      <c r="C44" s="12"/>
      <c r="D44" s="12"/>
      <c r="E44" s="12"/>
      <c r="F44" s="12"/>
      <c r="G44" s="12"/>
      <c r="H44" s="12"/>
      <c r="I44" s="12"/>
      <c r="J44" s="12"/>
      <c r="K44" s="12"/>
      <c r="L44" s="12"/>
      <c r="M44" s="12"/>
      <c r="N44" s="12"/>
      <c r="O44" s="12"/>
      <c r="P44" s="12"/>
      <c r="Q44" s="12"/>
    </row>
    <row r="45" spans="1:17" ht="60" customHeight="1" x14ac:dyDescent="0.25">
      <c r="A45" s="9">
        <f>IF(F45="","",ROW()-19-COUNTBLANK($F$20:F45))</f>
        <v>21</v>
      </c>
      <c r="B45" s="4" t="s">
        <v>2370</v>
      </c>
      <c r="C45" s="4" t="s">
        <v>2371</v>
      </c>
      <c r="D45" s="4"/>
      <c r="E45" s="7" t="s">
        <v>2997</v>
      </c>
      <c r="F45" s="7" t="s">
        <v>2373</v>
      </c>
      <c r="G45" s="3" t="s">
        <v>50</v>
      </c>
      <c r="H45" s="3"/>
      <c r="I45" s="3"/>
      <c r="J45" s="3"/>
      <c r="K45" s="3"/>
      <c r="L45" s="3"/>
      <c r="M45" s="3"/>
      <c r="N45" s="3"/>
      <c r="O45" s="3"/>
      <c r="P45" s="3"/>
      <c r="Q45" s="3"/>
    </row>
    <row r="46" spans="1:17" ht="60" customHeight="1" x14ac:dyDescent="0.25">
      <c r="A46" s="9">
        <f>IF(F46="","",ROW()-19-COUNTBLANK($F$20:F46))</f>
        <v>22</v>
      </c>
      <c r="B46" s="4" t="s">
        <v>2374</v>
      </c>
      <c r="C46" s="4" t="s">
        <v>2375</v>
      </c>
      <c r="D46" s="4"/>
      <c r="E46" s="7" t="s">
        <v>2998</v>
      </c>
      <c r="F46" s="7" t="s">
        <v>2377</v>
      </c>
      <c r="G46" s="3" t="s">
        <v>55</v>
      </c>
      <c r="H46" s="3"/>
      <c r="I46" s="3"/>
      <c r="J46" s="3"/>
      <c r="K46" s="3"/>
      <c r="L46" s="3"/>
      <c r="M46" s="3"/>
      <c r="N46" s="3"/>
      <c r="O46" s="3"/>
      <c r="P46" s="3"/>
      <c r="Q46" s="3"/>
    </row>
    <row r="47" spans="1:17" ht="60" customHeight="1" x14ac:dyDescent="0.25">
      <c r="A47" s="9">
        <f>IF(F47="","",ROW()-19-COUNTBLANK($F$20:F47))</f>
        <v>23</v>
      </c>
      <c r="B47" s="4" t="s">
        <v>2378</v>
      </c>
      <c r="C47" s="4" t="s">
        <v>2379</v>
      </c>
      <c r="D47" s="4" t="s">
        <v>2380</v>
      </c>
      <c r="E47" s="7" t="s">
        <v>2998</v>
      </c>
      <c r="F47" s="7" t="s">
        <v>2381</v>
      </c>
      <c r="G47" s="3" t="s">
        <v>55</v>
      </c>
      <c r="H47" s="3"/>
      <c r="I47" s="3"/>
      <c r="J47" s="3"/>
      <c r="K47" s="3"/>
      <c r="L47" s="3"/>
      <c r="M47" s="3"/>
      <c r="N47" s="3"/>
      <c r="O47" s="3"/>
      <c r="P47" s="3"/>
      <c r="Q47" s="3"/>
    </row>
    <row r="48" spans="1:17" ht="60" customHeight="1" x14ac:dyDescent="0.25">
      <c r="A48" s="9">
        <f>IF(F48="","",ROW()-19-COUNTBLANK($F$20:F48))</f>
        <v>24</v>
      </c>
      <c r="B48" s="4" t="s">
        <v>2382</v>
      </c>
      <c r="C48" s="4" t="s">
        <v>2383</v>
      </c>
      <c r="D48" s="4" t="s">
        <v>2384</v>
      </c>
      <c r="E48" s="7" t="s">
        <v>2999</v>
      </c>
      <c r="F48" s="7" t="s">
        <v>2386</v>
      </c>
      <c r="G48" s="3" t="s">
        <v>55</v>
      </c>
      <c r="H48" s="3"/>
      <c r="I48" s="3"/>
      <c r="J48" s="3"/>
      <c r="K48" s="3"/>
      <c r="L48" s="3"/>
      <c r="M48" s="3"/>
      <c r="N48" s="3"/>
      <c r="O48" s="3"/>
      <c r="P48" s="3"/>
      <c r="Q48" s="3"/>
    </row>
    <row r="49" spans="1:17" ht="60" customHeight="1" x14ac:dyDescent="0.25">
      <c r="A49" s="9">
        <f>IF(F49="","",ROW()-19-COUNTBLANK($F$20:F49))</f>
        <v>25</v>
      </c>
      <c r="B49" s="4" t="s">
        <v>2387</v>
      </c>
      <c r="C49" s="4" t="s">
        <v>2388</v>
      </c>
      <c r="D49" s="4"/>
      <c r="E49" s="7" t="s">
        <v>2998</v>
      </c>
      <c r="F49" s="7" t="s">
        <v>2389</v>
      </c>
      <c r="G49" s="3" t="s">
        <v>73</v>
      </c>
      <c r="H49" s="3"/>
      <c r="I49" s="3"/>
      <c r="J49" s="3"/>
      <c r="K49" s="3"/>
      <c r="L49" s="3"/>
      <c r="M49" s="3"/>
      <c r="N49" s="3"/>
      <c r="O49" s="3"/>
      <c r="P49" s="3"/>
      <c r="Q49" s="3"/>
    </row>
    <row r="50" spans="1:17" ht="20.100000000000001" customHeight="1" x14ac:dyDescent="0.25">
      <c r="A50" s="9" t="str">
        <f>IF(F50="","",ROW()-19-COUNTBLANK($F$20:F50))</f>
        <v/>
      </c>
      <c r="B50" s="12" t="s">
        <v>2390</v>
      </c>
      <c r="C50" s="12"/>
      <c r="D50" s="12"/>
      <c r="E50" s="12"/>
      <c r="F50" s="12"/>
      <c r="G50" s="12"/>
      <c r="H50" s="12"/>
      <c r="I50" s="12"/>
      <c r="J50" s="12"/>
      <c r="K50" s="12"/>
      <c r="L50" s="12"/>
      <c r="M50" s="12"/>
      <c r="N50" s="12"/>
      <c r="O50" s="12"/>
      <c r="P50" s="12"/>
      <c r="Q50" s="12"/>
    </row>
    <row r="51" spans="1:17" ht="60" customHeight="1" x14ac:dyDescent="0.25">
      <c r="A51" s="9">
        <f>IF(F51="","",ROW()-19-COUNTBLANK($F$20:F51))</f>
        <v>26</v>
      </c>
      <c r="B51" s="4" t="s">
        <v>2391</v>
      </c>
      <c r="C51" s="4" t="s">
        <v>2392</v>
      </c>
      <c r="D51" s="4" t="s">
        <v>2393</v>
      </c>
      <c r="E51" s="7" t="s">
        <v>2998</v>
      </c>
      <c r="F51" s="7" t="s">
        <v>2394</v>
      </c>
      <c r="G51" s="3" t="s">
        <v>50</v>
      </c>
      <c r="H51" s="3"/>
      <c r="I51" s="3"/>
      <c r="J51" s="3"/>
      <c r="K51" s="3"/>
      <c r="L51" s="3"/>
      <c r="M51" s="3"/>
      <c r="N51" s="3"/>
      <c r="O51" s="3"/>
      <c r="P51" s="3"/>
      <c r="Q51" s="3"/>
    </row>
    <row r="52" spans="1:17" ht="20.100000000000001" customHeight="1" x14ac:dyDescent="0.25">
      <c r="A52" s="9" t="str">
        <f>IF(F52="","",ROW()-19-COUNTBLANK($F$20:F52))</f>
        <v/>
      </c>
      <c r="B52" s="12" t="s">
        <v>2395</v>
      </c>
      <c r="C52" s="12"/>
      <c r="D52" s="12"/>
      <c r="E52" s="12"/>
      <c r="F52" s="12"/>
      <c r="G52" s="12"/>
      <c r="H52" s="12"/>
      <c r="I52" s="12"/>
      <c r="J52" s="12"/>
      <c r="K52" s="12"/>
      <c r="L52" s="12"/>
      <c r="M52" s="12"/>
      <c r="N52" s="12"/>
      <c r="O52" s="12"/>
      <c r="P52" s="12"/>
      <c r="Q52" s="12"/>
    </row>
    <row r="53" spans="1:17" ht="60" customHeight="1" x14ac:dyDescent="0.25">
      <c r="A53" s="9">
        <f>IF(F53="","",ROW()-19-COUNTBLANK($F$20:F53))</f>
        <v>27</v>
      </c>
      <c r="B53" s="4" t="s">
        <v>216</v>
      </c>
      <c r="C53" s="4" t="s">
        <v>2396</v>
      </c>
      <c r="D53" s="4"/>
      <c r="E53" s="7" t="s">
        <v>3000</v>
      </c>
      <c r="F53" s="7" t="s">
        <v>885</v>
      </c>
      <c r="G53" s="3" t="s">
        <v>55</v>
      </c>
      <c r="H53" s="3"/>
      <c r="I53" s="3"/>
      <c r="J53" s="3"/>
      <c r="K53" s="3"/>
      <c r="L53" s="3"/>
      <c r="M53" s="3"/>
      <c r="N53" s="3"/>
      <c r="O53" s="3"/>
      <c r="P53" s="3"/>
      <c r="Q53" s="3"/>
    </row>
    <row r="54" spans="1:17" ht="60" customHeight="1" x14ac:dyDescent="0.25">
      <c r="A54" s="9">
        <f>IF(F54="","",ROW()-19-COUNTBLANK($F$20:F54))</f>
        <v>28</v>
      </c>
      <c r="B54" s="4" t="s">
        <v>132</v>
      </c>
      <c r="C54" s="4" t="s">
        <v>886</v>
      </c>
      <c r="D54" s="4"/>
      <c r="E54" s="7" t="s">
        <v>3000</v>
      </c>
      <c r="F54" s="7" t="s">
        <v>2398</v>
      </c>
      <c r="G54" s="3" t="s">
        <v>55</v>
      </c>
      <c r="H54" s="3"/>
      <c r="I54" s="3"/>
      <c r="J54" s="3"/>
      <c r="K54" s="3"/>
      <c r="L54" s="3"/>
      <c r="M54" s="3"/>
      <c r="N54" s="3"/>
      <c r="O54" s="3"/>
      <c r="P54" s="3"/>
      <c r="Q54" s="3"/>
    </row>
    <row r="55" spans="1:17" ht="60" customHeight="1" x14ac:dyDescent="0.25">
      <c r="A55" s="9">
        <f>IF(F55="","",ROW()-19-COUNTBLANK($F$20:F55))</f>
        <v>29</v>
      </c>
      <c r="B55" s="4" t="s">
        <v>888</v>
      </c>
      <c r="C55" s="4" t="s">
        <v>889</v>
      </c>
      <c r="D55" s="4"/>
      <c r="E55" s="7" t="s">
        <v>3001</v>
      </c>
      <c r="F55" s="7" t="s">
        <v>2400</v>
      </c>
      <c r="G55" s="3" t="s">
        <v>50</v>
      </c>
      <c r="H55" s="3"/>
      <c r="I55" s="3"/>
      <c r="J55" s="3"/>
      <c r="K55" s="3"/>
      <c r="L55" s="3"/>
      <c r="M55" s="3"/>
      <c r="N55" s="3"/>
      <c r="O55" s="3"/>
      <c r="P55" s="3"/>
      <c r="Q55" s="3"/>
    </row>
    <row r="56" spans="1:17" ht="60" customHeight="1" x14ac:dyDescent="0.25">
      <c r="A56" s="9">
        <f>IF(F56="","",ROW()-19-COUNTBLANK($F$20:F56))</f>
        <v>30</v>
      </c>
      <c r="B56" s="4" t="s">
        <v>892</v>
      </c>
      <c r="C56" s="4" t="s">
        <v>893</v>
      </c>
      <c r="D56" s="4"/>
      <c r="E56" s="7" t="s">
        <v>3002</v>
      </c>
      <c r="F56" s="7" t="s">
        <v>2402</v>
      </c>
      <c r="G56" s="3" t="s">
        <v>50</v>
      </c>
      <c r="H56" s="3"/>
      <c r="I56" s="3"/>
      <c r="J56" s="3"/>
      <c r="K56" s="3"/>
      <c r="L56" s="3"/>
      <c r="M56" s="3"/>
      <c r="N56" s="3"/>
      <c r="O56" s="3"/>
      <c r="P56" s="3"/>
      <c r="Q56" s="3"/>
    </row>
    <row r="57" spans="1:17" ht="60" customHeight="1" x14ac:dyDescent="0.25">
      <c r="A57" s="9">
        <f>IF(F57="","",ROW()-19-COUNTBLANK($F$20:F57))</f>
        <v>31</v>
      </c>
      <c r="B57" s="4" t="s">
        <v>896</v>
      </c>
      <c r="C57" s="4" t="s">
        <v>897</v>
      </c>
      <c r="D57" s="4"/>
      <c r="E57" s="7" t="s">
        <v>3003</v>
      </c>
      <c r="F57" s="7" t="s">
        <v>899</v>
      </c>
      <c r="G57" s="3" t="s">
        <v>73</v>
      </c>
      <c r="H57" s="3"/>
      <c r="I57" s="3"/>
      <c r="J57" s="3"/>
      <c r="K57" s="3"/>
      <c r="L57" s="3"/>
      <c r="M57" s="3"/>
      <c r="N57" s="3"/>
      <c r="O57" s="3"/>
      <c r="P57" s="3"/>
      <c r="Q57" s="3"/>
    </row>
    <row r="58" spans="1:17" ht="60" customHeight="1" x14ac:dyDescent="0.25">
      <c r="A58" s="9">
        <f>IF(F58="","",ROW()-19-COUNTBLANK($F$20:F58))</f>
        <v>32</v>
      </c>
      <c r="B58" s="4" t="s">
        <v>2404</v>
      </c>
      <c r="C58" s="4" t="s">
        <v>2405</v>
      </c>
      <c r="D58" s="4" t="s">
        <v>2406</v>
      </c>
      <c r="E58" s="7" t="s">
        <v>3004</v>
      </c>
      <c r="F58" s="7" t="s">
        <v>2408</v>
      </c>
      <c r="G58" s="3" t="s">
        <v>55</v>
      </c>
      <c r="H58" s="3"/>
      <c r="I58" s="3"/>
      <c r="J58" s="3"/>
      <c r="K58" s="3"/>
      <c r="L58" s="3"/>
      <c r="M58" s="3"/>
      <c r="N58" s="3"/>
      <c r="O58" s="3"/>
      <c r="P58" s="3"/>
      <c r="Q58" s="3"/>
    </row>
    <row r="59" spans="1:17" ht="20.100000000000001" customHeight="1" x14ac:dyDescent="0.25">
      <c r="A59" s="9" t="str">
        <f>IF(F59="","",ROW()-19-COUNTBLANK($F$20:F59))</f>
        <v/>
      </c>
      <c r="B59" s="12" t="s">
        <v>2409</v>
      </c>
      <c r="C59" s="12"/>
      <c r="D59" s="12"/>
      <c r="E59" s="12"/>
      <c r="F59" s="12"/>
      <c r="G59" s="12"/>
      <c r="H59" s="12"/>
      <c r="I59" s="12"/>
      <c r="J59" s="12"/>
      <c r="K59" s="12"/>
      <c r="L59" s="12"/>
      <c r="M59" s="12"/>
      <c r="N59" s="12"/>
      <c r="O59" s="12"/>
      <c r="P59" s="12"/>
      <c r="Q59" s="12"/>
    </row>
    <row r="60" spans="1:17" ht="60" customHeight="1" x14ac:dyDescent="0.25">
      <c r="A60" s="9">
        <f>IF(F60="","",ROW()-19-COUNTBLANK($F$20:F60))</f>
        <v>33</v>
      </c>
      <c r="B60" s="4" t="s">
        <v>216</v>
      </c>
      <c r="C60" s="4" t="s">
        <v>2410</v>
      </c>
      <c r="D60" s="4"/>
      <c r="E60" s="7" t="s">
        <v>3005</v>
      </c>
      <c r="F60" s="7" t="s">
        <v>461</v>
      </c>
      <c r="G60" s="3" t="s">
        <v>55</v>
      </c>
      <c r="H60" s="3"/>
      <c r="I60" s="3"/>
      <c r="J60" s="3"/>
      <c r="K60" s="3"/>
      <c r="L60" s="3"/>
      <c r="M60" s="3"/>
      <c r="N60" s="3"/>
      <c r="O60" s="3"/>
      <c r="P60" s="3"/>
      <c r="Q60" s="3"/>
    </row>
    <row r="61" spans="1:17" ht="60" customHeight="1" x14ac:dyDescent="0.25">
      <c r="A61" s="9">
        <f>IF(F61="","",ROW()-19-COUNTBLANK($F$20:F61))</f>
        <v>34</v>
      </c>
      <c r="B61" s="4" t="s">
        <v>132</v>
      </c>
      <c r="C61" s="4" t="s">
        <v>462</v>
      </c>
      <c r="D61" s="4"/>
      <c r="E61" s="7" t="s">
        <v>3006</v>
      </c>
      <c r="F61" s="7" t="s">
        <v>2413</v>
      </c>
      <c r="G61" s="3" t="s">
        <v>50</v>
      </c>
      <c r="H61" s="3"/>
      <c r="I61" s="3"/>
      <c r="J61" s="3"/>
      <c r="K61" s="3"/>
      <c r="L61" s="3"/>
      <c r="M61" s="3"/>
      <c r="N61" s="3"/>
      <c r="O61" s="3"/>
      <c r="P61" s="3"/>
      <c r="Q61" s="3"/>
    </row>
    <row r="62" spans="1:17" ht="60" customHeight="1" x14ac:dyDescent="0.25">
      <c r="A62" s="9">
        <f>IF(F62="","",ROW()-19-COUNTBLANK($F$20:F62))</f>
        <v>35</v>
      </c>
      <c r="B62" s="4" t="s">
        <v>465</v>
      </c>
      <c r="C62" s="4" t="s">
        <v>466</v>
      </c>
      <c r="D62" s="4"/>
      <c r="E62" s="7" t="s">
        <v>3007</v>
      </c>
      <c r="F62" s="7" t="s">
        <v>2415</v>
      </c>
      <c r="G62" s="3" t="s">
        <v>73</v>
      </c>
      <c r="H62" s="3"/>
      <c r="I62" s="3"/>
      <c r="J62" s="3"/>
      <c r="K62" s="3"/>
      <c r="L62" s="3"/>
      <c r="M62" s="3"/>
      <c r="N62" s="3"/>
      <c r="O62" s="3"/>
      <c r="P62" s="3"/>
      <c r="Q62" s="3"/>
    </row>
    <row r="63" spans="1:17" ht="60" customHeight="1" x14ac:dyDescent="0.25">
      <c r="A63" s="9">
        <f>IF(F63="","",ROW()-19-COUNTBLANK($F$20:F63))</f>
        <v>36</v>
      </c>
      <c r="B63" s="4" t="s">
        <v>469</v>
      </c>
      <c r="C63" s="4" t="s">
        <v>470</v>
      </c>
      <c r="D63" s="4"/>
      <c r="E63" s="7" t="s">
        <v>3008</v>
      </c>
      <c r="F63" s="7" t="s">
        <v>2417</v>
      </c>
      <c r="G63" s="3" t="s">
        <v>50</v>
      </c>
      <c r="H63" s="3"/>
      <c r="I63" s="3"/>
      <c r="J63" s="3"/>
      <c r="K63" s="3"/>
      <c r="L63" s="3"/>
      <c r="M63" s="3"/>
      <c r="N63" s="3"/>
      <c r="O63" s="3"/>
      <c r="P63" s="3"/>
      <c r="Q63" s="3"/>
    </row>
    <row r="64" spans="1:17" ht="60" customHeight="1" x14ac:dyDescent="0.25">
      <c r="A64" s="9">
        <f>IF(F64="","",ROW()-19-COUNTBLANK($F$20:F64))</f>
        <v>37</v>
      </c>
      <c r="B64" s="4" t="s">
        <v>473</v>
      </c>
      <c r="C64" s="4" t="s">
        <v>474</v>
      </c>
      <c r="D64" s="4"/>
      <c r="E64" s="7" t="s">
        <v>3009</v>
      </c>
      <c r="F64" s="7" t="s">
        <v>2419</v>
      </c>
      <c r="G64" s="3" t="s">
        <v>50</v>
      </c>
      <c r="H64" s="3"/>
      <c r="I64" s="3"/>
      <c r="J64" s="3"/>
      <c r="K64" s="3"/>
      <c r="L64" s="3"/>
      <c r="M64" s="3"/>
      <c r="N64" s="3"/>
      <c r="O64" s="3"/>
      <c r="P64" s="3"/>
      <c r="Q64" s="3"/>
    </row>
    <row r="65" spans="1:17" ht="60" customHeight="1" x14ac:dyDescent="0.25">
      <c r="A65" s="9">
        <f>IF(F65="","",ROW()-19-COUNTBLANK($F$20:F65))</f>
        <v>38</v>
      </c>
      <c r="B65" s="4" t="s">
        <v>477</v>
      </c>
      <c r="C65" s="4" t="s">
        <v>478</v>
      </c>
      <c r="D65" s="4"/>
      <c r="E65" s="7" t="s">
        <v>3010</v>
      </c>
      <c r="F65" s="7" t="s">
        <v>480</v>
      </c>
      <c r="G65" s="3" t="s">
        <v>55</v>
      </c>
      <c r="H65" s="3"/>
      <c r="I65" s="3"/>
      <c r="J65" s="3"/>
      <c r="K65" s="3"/>
      <c r="L65" s="3"/>
      <c r="M65" s="3"/>
      <c r="N65" s="3"/>
      <c r="O65" s="3"/>
      <c r="P65" s="3"/>
      <c r="Q65" s="3"/>
    </row>
    <row r="66" spans="1:17" ht="60" customHeight="1" x14ac:dyDescent="0.25">
      <c r="A66" s="9">
        <f>IF(F66="","",ROW()-19-COUNTBLANK($F$20:F66))</f>
        <v>39</v>
      </c>
      <c r="B66" s="17" t="s">
        <v>481</v>
      </c>
      <c r="C66" s="4" t="s">
        <v>482</v>
      </c>
      <c r="D66" s="4" t="s">
        <v>579</v>
      </c>
      <c r="E66" s="7" t="s">
        <v>3011</v>
      </c>
      <c r="F66" s="7" t="s">
        <v>485</v>
      </c>
      <c r="G66" s="3" t="s">
        <v>73</v>
      </c>
      <c r="H66" s="3"/>
      <c r="I66" s="3"/>
      <c r="J66" s="3"/>
      <c r="K66" s="3"/>
      <c r="L66" s="3"/>
      <c r="M66" s="3"/>
      <c r="N66" s="3"/>
      <c r="O66" s="3"/>
      <c r="P66" s="3"/>
      <c r="Q66" s="3"/>
    </row>
    <row r="67" spans="1:17" ht="60" customHeight="1" x14ac:dyDescent="0.25">
      <c r="A67" s="9">
        <f>IF(F67="","",ROW()-19-COUNTBLANK($F$20:F67))</f>
        <v>40</v>
      </c>
      <c r="B67" s="18"/>
      <c r="C67" s="4" t="s">
        <v>486</v>
      </c>
      <c r="D67" s="4" t="s">
        <v>581</v>
      </c>
      <c r="E67" s="7" t="s">
        <v>3011</v>
      </c>
      <c r="F67" s="7" t="s">
        <v>485</v>
      </c>
      <c r="G67" s="3" t="s">
        <v>73</v>
      </c>
      <c r="H67" s="3"/>
      <c r="I67" s="3"/>
      <c r="J67" s="3"/>
      <c r="K67" s="3"/>
      <c r="L67" s="3"/>
      <c r="M67" s="3"/>
      <c r="N67" s="3"/>
      <c r="O67" s="3"/>
      <c r="P67" s="3"/>
      <c r="Q67" s="3"/>
    </row>
    <row r="68" spans="1:17" ht="60" customHeight="1" x14ac:dyDescent="0.25">
      <c r="A68" s="9">
        <f>IF(F68="","",ROW()-19-COUNTBLANK($F$20:F68))</f>
        <v>41</v>
      </c>
      <c r="B68" s="19"/>
      <c r="C68" s="4" t="s">
        <v>488</v>
      </c>
      <c r="D68" s="4" t="s">
        <v>582</v>
      </c>
      <c r="E68" s="7" t="s">
        <v>3012</v>
      </c>
      <c r="F68" s="7" t="s">
        <v>491</v>
      </c>
      <c r="G68" s="3" t="s">
        <v>73</v>
      </c>
      <c r="H68" s="3"/>
      <c r="I68" s="3"/>
      <c r="J68" s="3"/>
      <c r="K68" s="3"/>
      <c r="L68" s="3"/>
      <c r="M68" s="3"/>
      <c r="N68" s="3"/>
      <c r="O68" s="3"/>
      <c r="P68" s="3"/>
      <c r="Q68" s="3"/>
    </row>
    <row r="69" spans="1:17" ht="60" customHeight="1" x14ac:dyDescent="0.25">
      <c r="A69" s="9">
        <f>IF(F69="","",ROW()-19-COUNTBLANK($F$20:F69))</f>
        <v>42</v>
      </c>
      <c r="B69" s="17" t="s">
        <v>492</v>
      </c>
      <c r="C69" s="4" t="s">
        <v>493</v>
      </c>
      <c r="D69" s="4" t="s">
        <v>494</v>
      </c>
      <c r="E69" s="7" t="s">
        <v>3013</v>
      </c>
      <c r="F69" s="7" t="s">
        <v>496</v>
      </c>
      <c r="G69" s="3" t="s">
        <v>50</v>
      </c>
      <c r="H69" s="3"/>
      <c r="I69" s="3"/>
      <c r="J69" s="3"/>
      <c r="K69" s="3"/>
      <c r="L69" s="3"/>
      <c r="M69" s="3"/>
      <c r="N69" s="3"/>
      <c r="O69" s="3"/>
      <c r="P69" s="3"/>
      <c r="Q69" s="3"/>
    </row>
    <row r="70" spans="1:17" ht="60" customHeight="1" x14ac:dyDescent="0.25">
      <c r="A70" s="9">
        <f>IF(F70="","",ROW()-19-COUNTBLANK($F$20:F70))</f>
        <v>43</v>
      </c>
      <c r="B70" s="18"/>
      <c r="C70" s="4" t="s">
        <v>497</v>
      </c>
      <c r="D70" s="4" t="s">
        <v>498</v>
      </c>
      <c r="E70" s="7" t="s">
        <v>3014</v>
      </c>
      <c r="F70" s="7" t="s">
        <v>500</v>
      </c>
      <c r="G70" s="3" t="s">
        <v>55</v>
      </c>
      <c r="H70" s="3"/>
      <c r="I70" s="3"/>
      <c r="J70" s="3"/>
      <c r="K70" s="3"/>
      <c r="L70" s="3"/>
      <c r="M70" s="3"/>
      <c r="N70" s="3"/>
      <c r="O70" s="3"/>
      <c r="P70" s="3"/>
      <c r="Q70" s="3"/>
    </row>
    <row r="71" spans="1:17" ht="60" customHeight="1" x14ac:dyDescent="0.25">
      <c r="A71" s="9">
        <f>IF(F71="","",ROW()-19-COUNTBLANK($F$20:F71))</f>
        <v>44</v>
      </c>
      <c r="B71" s="19"/>
      <c r="C71" s="4" t="s">
        <v>501</v>
      </c>
      <c r="D71" s="4" t="s">
        <v>502</v>
      </c>
      <c r="E71" s="7" t="s">
        <v>3015</v>
      </c>
      <c r="F71" s="7" t="s">
        <v>504</v>
      </c>
      <c r="G71" s="3" t="s">
        <v>55</v>
      </c>
      <c r="H71" s="3"/>
      <c r="I71" s="3"/>
      <c r="J71" s="3"/>
      <c r="K71" s="3"/>
      <c r="L71" s="3"/>
      <c r="M71" s="3"/>
      <c r="N71" s="3"/>
      <c r="O71" s="3"/>
      <c r="P71" s="3"/>
      <c r="Q71" s="3"/>
    </row>
    <row r="72" spans="1:17" ht="60" customHeight="1" x14ac:dyDescent="0.25">
      <c r="A72" s="9">
        <f>IF(F72="","",ROW()-19-COUNTBLANK($F$20:F72))</f>
        <v>45</v>
      </c>
      <c r="B72" s="17" t="s">
        <v>473</v>
      </c>
      <c r="C72" s="17" t="s">
        <v>505</v>
      </c>
      <c r="D72" s="4" t="s">
        <v>506</v>
      </c>
      <c r="E72" s="7" t="s">
        <v>507</v>
      </c>
      <c r="F72" s="7" t="s">
        <v>508</v>
      </c>
      <c r="G72" s="3" t="s">
        <v>55</v>
      </c>
      <c r="H72" s="3"/>
      <c r="I72" s="3"/>
      <c r="J72" s="3"/>
      <c r="K72" s="3"/>
      <c r="L72" s="3"/>
      <c r="M72" s="3"/>
      <c r="N72" s="3"/>
      <c r="O72" s="3"/>
      <c r="P72" s="3"/>
      <c r="Q72" s="3"/>
    </row>
    <row r="73" spans="1:17" ht="60" customHeight="1" x14ac:dyDescent="0.25">
      <c r="A73" s="9">
        <f>IF(F73="","",ROW()-19-COUNTBLANK($F$20:F73))</f>
        <v>46</v>
      </c>
      <c r="B73" s="18"/>
      <c r="C73" s="19"/>
      <c r="D73" s="4" t="s">
        <v>509</v>
      </c>
      <c r="E73" s="7" t="s">
        <v>510</v>
      </c>
      <c r="F73" s="7" t="s">
        <v>511</v>
      </c>
      <c r="G73" s="3" t="s">
        <v>55</v>
      </c>
      <c r="H73" s="3"/>
      <c r="I73" s="3"/>
      <c r="J73" s="3"/>
      <c r="K73" s="3"/>
      <c r="L73" s="3"/>
      <c r="M73" s="3"/>
      <c r="N73" s="3"/>
      <c r="O73" s="3"/>
      <c r="P73" s="3"/>
      <c r="Q73" s="3"/>
    </row>
    <row r="74" spans="1:17" ht="60" customHeight="1" x14ac:dyDescent="0.25">
      <c r="A74" s="9">
        <f>IF(F74="","",ROW()-19-COUNTBLANK($F$20:F74))</f>
        <v>47</v>
      </c>
      <c r="B74" s="18"/>
      <c r="C74" s="4" t="s">
        <v>512</v>
      </c>
      <c r="D74" s="4" t="s">
        <v>513</v>
      </c>
      <c r="E74" s="7" t="s">
        <v>514</v>
      </c>
      <c r="F74" s="7" t="s">
        <v>515</v>
      </c>
      <c r="G74" s="3" t="s">
        <v>55</v>
      </c>
      <c r="H74" s="3"/>
      <c r="I74" s="3"/>
      <c r="J74" s="3"/>
      <c r="K74" s="3"/>
      <c r="L74" s="3"/>
      <c r="M74" s="3"/>
      <c r="N74" s="3"/>
      <c r="O74" s="3"/>
      <c r="P74" s="3"/>
      <c r="Q74" s="3"/>
    </row>
    <row r="75" spans="1:17" ht="60" customHeight="1" x14ac:dyDescent="0.25">
      <c r="A75" s="9">
        <f>IF(F75="","",ROW()-19-COUNTBLANK($F$20:F75))</f>
        <v>48</v>
      </c>
      <c r="B75" s="19"/>
      <c r="C75" s="4" t="s">
        <v>516</v>
      </c>
      <c r="D75" s="4" t="s">
        <v>517</v>
      </c>
      <c r="E75" s="7" t="s">
        <v>518</v>
      </c>
      <c r="F75" s="7" t="s">
        <v>519</v>
      </c>
      <c r="G75" s="3" t="s">
        <v>55</v>
      </c>
      <c r="H75" s="3"/>
      <c r="I75" s="3"/>
      <c r="J75" s="3"/>
      <c r="K75" s="3"/>
      <c r="L75" s="3"/>
      <c r="M75" s="3"/>
      <c r="N75" s="3"/>
      <c r="O75" s="3"/>
      <c r="P75" s="3"/>
      <c r="Q75" s="3"/>
    </row>
    <row r="76" spans="1:17" ht="60" customHeight="1" x14ac:dyDescent="0.25">
      <c r="A76" s="9">
        <f>IF(F76="","",ROW()-19-COUNTBLANK($F$20:F76))</f>
        <v>49</v>
      </c>
      <c r="B76" s="4" t="s">
        <v>520</v>
      </c>
      <c r="C76" s="4" t="s">
        <v>521</v>
      </c>
      <c r="D76" s="4"/>
      <c r="E76" s="7" t="s">
        <v>3016</v>
      </c>
      <c r="F76" s="7" t="s">
        <v>523</v>
      </c>
      <c r="G76" s="3" t="s">
        <v>55</v>
      </c>
      <c r="H76" s="3"/>
      <c r="I76" s="3"/>
      <c r="J76" s="3"/>
      <c r="K76" s="3"/>
      <c r="L76" s="3"/>
      <c r="M76" s="3"/>
      <c r="N76" s="3"/>
      <c r="O76" s="3"/>
      <c r="P76" s="3"/>
      <c r="Q76" s="3"/>
    </row>
    <row r="77" spans="1:17" ht="20.100000000000001" customHeight="1" x14ac:dyDescent="0.25">
      <c r="A77" s="9" t="str">
        <f>IF(F77="","",ROW()-19-COUNTBLANK($F$20:F77))</f>
        <v/>
      </c>
      <c r="B77" s="12" t="s">
        <v>2427</v>
      </c>
      <c r="C77" s="12"/>
      <c r="D77" s="12"/>
      <c r="E77" s="12"/>
      <c r="F77" s="12"/>
      <c r="G77" s="12"/>
      <c r="H77" s="12"/>
      <c r="I77" s="12"/>
      <c r="J77" s="12"/>
      <c r="K77" s="12"/>
      <c r="L77" s="12"/>
      <c r="M77" s="12"/>
      <c r="N77" s="12"/>
      <c r="O77" s="12"/>
      <c r="P77" s="12"/>
      <c r="Q77" s="12"/>
    </row>
    <row r="78" spans="1:17" ht="60" customHeight="1" x14ac:dyDescent="0.25">
      <c r="A78" s="9">
        <f>IF(F78="","",ROW()-19-COUNTBLANK($F$20:F78))</f>
        <v>50</v>
      </c>
      <c r="B78" s="4" t="s">
        <v>216</v>
      </c>
      <c r="C78" s="4" t="s">
        <v>2428</v>
      </c>
      <c r="D78" s="4"/>
      <c r="E78" s="7" t="s">
        <v>3017</v>
      </c>
      <c r="F78" s="7" t="s">
        <v>2430</v>
      </c>
      <c r="G78" s="3" t="s">
        <v>55</v>
      </c>
      <c r="H78" s="3"/>
      <c r="I78" s="3"/>
      <c r="J78" s="3"/>
      <c r="K78" s="3"/>
      <c r="L78" s="3"/>
      <c r="M78" s="3"/>
      <c r="N78" s="3"/>
      <c r="O78" s="3"/>
      <c r="P78" s="3"/>
      <c r="Q78" s="3"/>
    </row>
    <row r="79" spans="1:17" ht="60" customHeight="1" x14ac:dyDescent="0.25">
      <c r="A79" s="9">
        <f>IF(F79="","",ROW()-19-COUNTBLANK($F$20:F79))</f>
        <v>51</v>
      </c>
      <c r="B79" s="4" t="s">
        <v>1064</v>
      </c>
      <c r="C79" s="4" t="s">
        <v>2431</v>
      </c>
      <c r="D79" s="4"/>
      <c r="E79" s="7" t="s">
        <v>3018</v>
      </c>
      <c r="F79" s="7" t="s">
        <v>1067</v>
      </c>
      <c r="G79" s="3" t="s">
        <v>55</v>
      </c>
      <c r="H79" s="3"/>
      <c r="I79" s="3"/>
      <c r="J79" s="3"/>
      <c r="K79" s="3"/>
      <c r="L79" s="3"/>
      <c r="M79" s="3"/>
      <c r="N79" s="3"/>
      <c r="O79" s="3"/>
      <c r="P79" s="3"/>
      <c r="Q79" s="3"/>
    </row>
    <row r="80" spans="1:17" ht="60" customHeight="1" x14ac:dyDescent="0.25">
      <c r="A80" s="9">
        <f>IF(F80="","",ROW()-19-COUNTBLANK($F$20:F80))</f>
        <v>52</v>
      </c>
      <c r="B80" s="4" t="s">
        <v>1068</v>
      </c>
      <c r="C80" s="4" t="s">
        <v>2433</v>
      </c>
      <c r="D80" s="4"/>
      <c r="E80" s="7" t="s">
        <v>3019</v>
      </c>
      <c r="F80" s="7" t="s">
        <v>2435</v>
      </c>
      <c r="G80" s="3" t="s">
        <v>73</v>
      </c>
      <c r="H80" s="3"/>
      <c r="I80" s="3"/>
      <c r="J80" s="3"/>
      <c r="K80" s="3"/>
      <c r="L80" s="3"/>
      <c r="M80" s="3"/>
      <c r="N80" s="3"/>
      <c r="O80" s="3"/>
      <c r="P80" s="3"/>
      <c r="Q80" s="3"/>
    </row>
    <row r="81" spans="1:17" ht="60" customHeight="1" x14ac:dyDescent="0.25">
      <c r="A81" s="9">
        <f>IF(F81="","",ROW()-19-COUNTBLANK($F$20:F81))</f>
        <v>53</v>
      </c>
      <c r="B81" s="4" t="s">
        <v>1072</v>
      </c>
      <c r="C81" s="4" t="s">
        <v>2436</v>
      </c>
      <c r="D81" s="4"/>
      <c r="E81" s="7" t="s">
        <v>3017</v>
      </c>
      <c r="F81" s="7" t="s">
        <v>1095</v>
      </c>
      <c r="G81" s="3" t="s">
        <v>73</v>
      </c>
      <c r="H81" s="3"/>
      <c r="I81" s="3"/>
      <c r="J81" s="3"/>
      <c r="K81" s="3"/>
      <c r="L81" s="3"/>
      <c r="M81" s="3"/>
      <c r="N81" s="3"/>
      <c r="O81" s="3"/>
      <c r="P81" s="3"/>
      <c r="Q81" s="3"/>
    </row>
    <row r="82" spans="1:17" ht="20.100000000000001" customHeight="1" x14ac:dyDescent="0.25">
      <c r="A82" s="9" t="str">
        <f>IF(F82="","",ROW()-19-COUNTBLANK($F$20:F82))</f>
        <v/>
      </c>
      <c r="B82" s="12" t="s">
        <v>2437</v>
      </c>
      <c r="C82" s="12"/>
      <c r="D82" s="12"/>
      <c r="E82" s="12"/>
      <c r="F82" s="12"/>
      <c r="G82" s="12"/>
      <c r="H82" s="12"/>
      <c r="I82" s="12"/>
      <c r="J82" s="12"/>
      <c r="K82" s="12"/>
      <c r="L82" s="12"/>
      <c r="M82" s="12"/>
      <c r="N82" s="12"/>
      <c r="O82" s="12"/>
      <c r="P82" s="12"/>
      <c r="Q82" s="12"/>
    </row>
    <row r="83" spans="1:17" ht="60" customHeight="1" x14ac:dyDescent="0.25">
      <c r="A83" s="9">
        <f>IF(F83="","",ROW()-19-COUNTBLANK($F$20:F83))</f>
        <v>54</v>
      </c>
      <c r="B83" s="4" t="s">
        <v>216</v>
      </c>
      <c r="C83" s="4" t="s">
        <v>2438</v>
      </c>
      <c r="D83" s="4"/>
      <c r="E83" s="7" t="s">
        <v>3020</v>
      </c>
      <c r="F83" s="7" t="s">
        <v>2440</v>
      </c>
      <c r="G83" s="3" t="s">
        <v>55</v>
      </c>
      <c r="H83" s="3"/>
      <c r="I83" s="3"/>
      <c r="J83" s="3"/>
      <c r="K83" s="3"/>
      <c r="L83" s="3"/>
      <c r="M83" s="3"/>
      <c r="N83" s="3"/>
      <c r="O83" s="3"/>
      <c r="P83" s="3"/>
      <c r="Q83" s="3"/>
    </row>
    <row r="84" spans="1:17" ht="60" customHeight="1" x14ac:dyDescent="0.25">
      <c r="A84" s="9">
        <f>IF(F84="","",ROW()-19-COUNTBLANK($F$20:F84))</f>
        <v>55</v>
      </c>
      <c r="B84" s="4" t="s">
        <v>1064</v>
      </c>
      <c r="C84" s="4" t="s">
        <v>2441</v>
      </c>
      <c r="D84" s="4"/>
      <c r="E84" s="7" t="s">
        <v>3021</v>
      </c>
      <c r="F84" s="7" t="s">
        <v>1067</v>
      </c>
      <c r="G84" s="3" t="s">
        <v>55</v>
      </c>
      <c r="H84" s="3"/>
      <c r="I84" s="3"/>
      <c r="J84" s="3"/>
      <c r="K84" s="3"/>
      <c r="L84" s="3"/>
      <c r="M84" s="3"/>
      <c r="N84" s="3"/>
      <c r="O84" s="3"/>
      <c r="P84" s="3"/>
      <c r="Q84" s="3"/>
    </row>
    <row r="85" spans="1:17" ht="60" customHeight="1" x14ac:dyDescent="0.25">
      <c r="A85" s="9">
        <f>IF(F85="","",ROW()-19-COUNTBLANK($F$20:F85))</f>
        <v>56</v>
      </c>
      <c r="B85" s="4" t="s">
        <v>1068</v>
      </c>
      <c r="C85" s="4" t="s">
        <v>2443</v>
      </c>
      <c r="D85" s="4"/>
      <c r="E85" s="7" t="s">
        <v>3022</v>
      </c>
      <c r="F85" s="7" t="s">
        <v>2445</v>
      </c>
      <c r="G85" s="3" t="s">
        <v>73</v>
      </c>
      <c r="H85" s="3"/>
      <c r="I85" s="3"/>
      <c r="J85" s="3"/>
      <c r="K85" s="3"/>
      <c r="L85" s="3"/>
      <c r="M85" s="3"/>
      <c r="N85" s="3"/>
      <c r="O85" s="3"/>
      <c r="P85" s="3"/>
      <c r="Q85" s="3"/>
    </row>
    <row r="86" spans="1:17" ht="60" customHeight="1" x14ac:dyDescent="0.25">
      <c r="A86" s="9">
        <f>IF(F86="","",ROW()-19-COUNTBLANK($F$20:F86))</f>
        <v>57</v>
      </c>
      <c r="B86" s="4" t="s">
        <v>1072</v>
      </c>
      <c r="C86" s="4" t="s">
        <v>2446</v>
      </c>
      <c r="D86" s="4"/>
      <c r="E86" s="7" t="s">
        <v>3020</v>
      </c>
      <c r="F86" s="7" t="s">
        <v>1095</v>
      </c>
      <c r="G86" s="3" t="s">
        <v>73</v>
      </c>
      <c r="H86" s="3"/>
      <c r="I86" s="3"/>
      <c r="J86" s="3"/>
      <c r="K86" s="3"/>
      <c r="L86" s="3"/>
      <c r="M86" s="3"/>
      <c r="N86" s="3"/>
      <c r="O86" s="3"/>
      <c r="P86" s="3"/>
      <c r="Q86" s="3"/>
    </row>
    <row r="87" spans="1:17" ht="20.100000000000001" customHeight="1" x14ac:dyDescent="0.25">
      <c r="A87" s="9" t="str">
        <f>IF(F87="","",ROW()-19-COUNTBLANK($F$20:F87))</f>
        <v/>
      </c>
      <c r="B87" s="12" t="s">
        <v>2447</v>
      </c>
      <c r="C87" s="12"/>
      <c r="D87" s="12"/>
      <c r="E87" s="12"/>
      <c r="F87" s="12"/>
      <c r="G87" s="12"/>
      <c r="H87" s="12"/>
      <c r="I87" s="12"/>
      <c r="J87" s="12"/>
      <c r="K87" s="12"/>
      <c r="L87" s="12"/>
      <c r="M87" s="12"/>
      <c r="N87" s="12"/>
      <c r="O87" s="12"/>
      <c r="P87" s="12"/>
      <c r="Q87" s="12"/>
    </row>
    <row r="88" spans="1:17" ht="60" customHeight="1" x14ac:dyDescent="0.25">
      <c r="A88" s="9">
        <f>IF(F88="","",ROW()-19-COUNTBLANK($F$20:F88))</f>
        <v>58</v>
      </c>
      <c r="B88" s="4" t="s">
        <v>216</v>
      </c>
      <c r="C88" s="4" t="s">
        <v>2448</v>
      </c>
      <c r="D88" s="4"/>
      <c r="E88" s="7" t="s">
        <v>3023</v>
      </c>
      <c r="F88" s="7" t="s">
        <v>2450</v>
      </c>
      <c r="G88" s="3" t="s">
        <v>55</v>
      </c>
      <c r="H88" s="3"/>
      <c r="I88" s="3"/>
      <c r="J88" s="3"/>
      <c r="K88" s="3"/>
      <c r="L88" s="3"/>
      <c r="M88" s="3"/>
      <c r="N88" s="3"/>
      <c r="O88" s="3"/>
      <c r="P88" s="3"/>
      <c r="Q88" s="3"/>
    </row>
    <row r="89" spans="1:17" ht="60" customHeight="1" x14ac:dyDescent="0.25">
      <c r="A89" s="9">
        <f>IF(F89="","",ROW()-19-COUNTBLANK($F$20:F89))</f>
        <v>59</v>
      </c>
      <c r="B89" s="4" t="s">
        <v>1064</v>
      </c>
      <c r="C89" s="4" t="s">
        <v>2451</v>
      </c>
      <c r="D89" s="4"/>
      <c r="E89" s="7" t="s">
        <v>3024</v>
      </c>
      <c r="F89" s="7" t="s">
        <v>1067</v>
      </c>
      <c r="G89" s="3" t="s">
        <v>55</v>
      </c>
      <c r="H89" s="3"/>
      <c r="I89" s="3"/>
      <c r="J89" s="3"/>
      <c r="K89" s="3"/>
      <c r="L89" s="3"/>
      <c r="M89" s="3"/>
      <c r="N89" s="3"/>
      <c r="O89" s="3"/>
      <c r="P89" s="3"/>
      <c r="Q89" s="3"/>
    </row>
    <row r="90" spans="1:17" ht="60" customHeight="1" x14ac:dyDescent="0.25">
      <c r="A90" s="9">
        <f>IF(F90="","",ROW()-19-COUNTBLANK($F$20:F90))</f>
        <v>60</v>
      </c>
      <c r="B90" s="4" t="s">
        <v>1068</v>
      </c>
      <c r="C90" s="4" t="s">
        <v>2453</v>
      </c>
      <c r="D90" s="4"/>
      <c r="E90" s="7" t="s">
        <v>3025</v>
      </c>
      <c r="F90" s="7" t="s">
        <v>2455</v>
      </c>
      <c r="G90" s="3" t="s">
        <v>73</v>
      </c>
      <c r="H90" s="3"/>
      <c r="I90" s="3"/>
      <c r="J90" s="3"/>
      <c r="K90" s="3"/>
      <c r="L90" s="3"/>
      <c r="M90" s="3"/>
      <c r="N90" s="3"/>
      <c r="O90" s="3"/>
      <c r="P90" s="3"/>
      <c r="Q90" s="3"/>
    </row>
    <row r="91" spans="1:17" ht="60" customHeight="1" x14ac:dyDescent="0.25">
      <c r="A91" s="9">
        <f>IF(F91="","",ROW()-19-COUNTBLANK($F$20:F91))</f>
        <v>61</v>
      </c>
      <c r="B91" s="4" t="s">
        <v>1072</v>
      </c>
      <c r="C91" s="4" t="s">
        <v>2456</v>
      </c>
      <c r="D91" s="4"/>
      <c r="E91" s="7" t="s">
        <v>3023</v>
      </c>
      <c r="F91" s="7" t="s">
        <v>1095</v>
      </c>
      <c r="G91" s="3" t="s">
        <v>73</v>
      </c>
      <c r="H91" s="3"/>
      <c r="I91" s="3"/>
      <c r="J91" s="3"/>
      <c r="K91" s="3"/>
      <c r="L91" s="3"/>
      <c r="M91" s="3"/>
      <c r="N91" s="3"/>
      <c r="O91" s="3"/>
      <c r="P91" s="3"/>
      <c r="Q91" s="3"/>
    </row>
    <row r="92" spans="1:17" ht="20.100000000000001" customHeight="1" x14ac:dyDescent="0.25">
      <c r="A92" s="9" t="str">
        <f>IF(F92="","",ROW()-19-COUNTBLANK($F$20:F92))</f>
        <v/>
      </c>
      <c r="B92" s="12" t="s">
        <v>2457</v>
      </c>
      <c r="C92" s="12"/>
      <c r="D92" s="12"/>
      <c r="E92" s="12"/>
      <c r="F92" s="12"/>
      <c r="G92" s="12"/>
      <c r="H92" s="12"/>
      <c r="I92" s="12"/>
      <c r="J92" s="12"/>
      <c r="K92" s="12"/>
      <c r="L92" s="12"/>
      <c r="M92" s="12"/>
      <c r="N92" s="12"/>
      <c r="O92" s="12"/>
      <c r="P92" s="12"/>
      <c r="Q92" s="12"/>
    </row>
    <row r="93" spans="1:17" ht="60" customHeight="1" x14ac:dyDescent="0.25">
      <c r="A93" s="9">
        <f>IF(F93="","",ROW()-19-COUNTBLANK($F$20:F93))</f>
        <v>62</v>
      </c>
      <c r="B93" s="4" t="s">
        <v>216</v>
      </c>
      <c r="C93" s="4" t="s">
        <v>2458</v>
      </c>
      <c r="D93" s="4"/>
      <c r="E93" s="7" t="s">
        <v>3026</v>
      </c>
      <c r="F93" s="7" t="s">
        <v>2460</v>
      </c>
      <c r="G93" s="3" t="s">
        <v>55</v>
      </c>
      <c r="H93" s="3"/>
      <c r="I93" s="3"/>
      <c r="J93" s="3"/>
      <c r="K93" s="3"/>
      <c r="L93" s="3"/>
      <c r="M93" s="3"/>
      <c r="N93" s="3"/>
      <c r="O93" s="3"/>
      <c r="P93" s="3"/>
      <c r="Q93" s="3"/>
    </row>
    <row r="94" spans="1:17" ht="60" customHeight="1" x14ac:dyDescent="0.25">
      <c r="A94" s="9">
        <f>IF(F94="","",ROW()-19-COUNTBLANK($F$20:F94))</f>
        <v>63</v>
      </c>
      <c r="B94" s="4" t="s">
        <v>1064</v>
      </c>
      <c r="C94" s="4" t="s">
        <v>2461</v>
      </c>
      <c r="D94" s="4"/>
      <c r="E94" s="7" t="s">
        <v>3027</v>
      </c>
      <c r="F94" s="7" t="s">
        <v>1067</v>
      </c>
      <c r="G94" s="3" t="s">
        <v>55</v>
      </c>
      <c r="H94" s="3"/>
      <c r="I94" s="3"/>
      <c r="J94" s="3"/>
      <c r="K94" s="3"/>
      <c r="L94" s="3"/>
      <c r="M94" s="3"/>
      <c r="N94" s="3"/>
      <c r="O94" s="3"/>
      <c r="P94" s="3"/>
      <c r="Q94" s="3"/>
    </row>
    <row r="95" spans="1:17" ht="60" customHeight="1" x14ac:dyDescent="0.25">
      <c r="A95" s="9">
        <f>IF(F95="","",ROW()-19-COUNTBLANK($F$20:F95))</f>
        <v>64</v>
      </c>
      <c r="B95" s="4" t="s">
        <v>1068</v>
      </c>
      <c r="C95" s="4" t="s">
        <v>2463</v>
      </c>
      <c r="D95" s="4"/>
      <c r="E95" s="7" t="s">
        <v>3028</v>
      </c>
      <c r="F95" s="7" t="s">
        <v>2465</v>
      </c>
      <c r="G95" s="3" t="s">
        <v>73</v>
      </c>
      <c r="H95" s="3"/>
      <c r="I95" s="3"/>
      <c r="J95" s="3"/>
      <c r="K95" s="3"/>
      <c r="L95" s="3"/>
      <c r="M95" s="3"/>
      <c r="N95" s="3"/>
      <c r="O95" s="3"/>
      <c r="P95" s="3"/>
      <c r="Q95" s="3"/>
    </row>
    <row r="96" spans="1:17" ht="60" customHeight="1" x14ac:dyDescent="0.25">
      <c r="A96" s="9">
        <f>IF(F96="","",ROW()-19-COUNTBLANK($F$20:F96))</f>
        <v>65</v>
      </c>
      <c r="B96" s="4" t="s">
        <v>1072</v>
      </c>
      <c r="C96" s="4" t="s">
        <v>2466</v>
      </c>
      <c r="D96" s="4"/>
      <c r="E96" s="7" t="s">
        <v>3026</v>
      </c>
      <c r="F96" s="7" t="s">
        <v>1095</v>
      </c>
      <c r="G96" s="3" t="s">
        <v>73</v>
      </c>
      <c r="H96" s="3"/>
      <c r="I96" s="3"/>
      <c r="J96" s="3"/>
      <c r="K96" s="3"/>
      <c r="L96" s="3"/>
      <c r="M96" s="3"/>
      <c r="N96" s="3"/>
      <c r="O96" s="3"/>
      <c r="P96" s="3"/>
      <c r="Q96" s="3"/>
    </row>
    <row r="97" spans="1:17" ht="20.100000000000001" customHeight="1" x14ac:dyDescent="0.25">
      <c r="A97" s="9" t="str">
        <f>IF(F97="","",ROW()-19-COUNTBLANK($F$20:F97))</f>
        <v/>
      </c>
      <c r="B97" s="12" t="s">
        <v>2467</v>
      </c>
      <c r="C97" s="12"/>
      <c r="D97" s="12"/>
      <c r="E97" s="12"/>
      <c r="F97" s="12"/>
      <c r="G97" s="12"/>
      <c r="H97" s="12"/>
      <c r="I97" s="12"/>
      <c r="J97" s="12"/>
      <c r="K97" s="12"/>
      <c r="L97" s="12"/>
      <c r="M97" s="12"/>
      <c r="N97" s="12"/>
      <c r="O97" s="12"/>
      <c r="P97" s="12"/>
      <c r="Q97" s="12"/>
    </row>
    <row r="98" spans="1:17" ht="60" customHeight="1" x14ac:dyDescent="0.25">
      <c r="A98" s="9">
        <f>IF(F98="","",ROW()-19-COUNTBLANK($F$20:F98))</f>
        <v>66</v>
      </c>
      <c r="B98" s="4" t="s">
        <v>2468</v>
      </c>
      <c r="C98" s="4" t="s">
        <v>2469</v>
      </c>
      <c r="D98" s="4" t="s">
        <v>2470</v>
      </c>
      <c r="E98" s="7" t="s">
        <v>3029</v>
      </c>
      <c r="F98" s="7" t="s">
        <v>2472</v>
      </c>
      <c r="G98" s="3" t="s">
        <v>50</v>
      </c>
      <c r="H98" s="3"/>
      <c r="I98" s="3"/>
      <c r="J98" s="3"/>
      <c r="K98" s="3"/>
      <c r="L98" s="3"/>
      <c r="M98" s="3"/>
      <c r="N98" s="3"/>
      <c r="O98" s="3"/>
      <c r="P98" s="3"/>
      <c r="Q98" s="3"/>
    </row>
    <row r="99" spans="1:17" ht="60" customHeight="1" x14ac:dyDescent="0.25">
      <c r="A99" s="9">
        <f>IF(F99="","",ROW()-19-COUNTBLANK($F$20:F99))</f>
        <v>67</v>
      </c>
      <c r="B99" s="4" t="s">
        <v>2473</v>
      </c>
      <c r="C99" s="4" t="s">
        <v>2474</v>
      </c>
      <c r="D99" s="4" t="s">
        <v>2475</v>
      </c>
      <c r="E99" s="7" t="s">
        <v>2998</v>
      </c>
      <c r="F99" s="7" t="s">
        <v>2476</v>
      </c>
      <c r="G99" s="3" t="s">
        <v>50</v>
      </c>
      <c r="H99" s="3"/>
      <c r="I99" s="3"/>
      <c r="J99" s="3"/>
      <c r="K99" s="3"/>
      <c r="L99" s="3"/>
      <c r="M99" s="3"/>
      <c r="N99" s="3"/>
      <c r="O99" s="3"/>
      <c r="P99" s="3"/>
      <c r="Q99" s="3"/>
    </row>
    <row r="100" spans="1:17" ht="20.100000000000001" customHeight="1" x14ac:dyDescent="0.25">
      <c r="A100" s="9" t="str">
        <f>IF(F100="","",ROW()-19-COUNTBLANK($F$20:F100))</f>
        <v/>
      </c>
      <c r="B100" s="12" t="s">
        <v>2477</v>
      </c>
      <c r="C100" s="12"/>
      <c r="D100" s="12"/>
      <c r="E100" s="12"/>
      <c r="F100" s="12"/>
      <c r="G100" s="12"/>
      <c r="H100" s="12"/>
      <c r="I100" s="12"/>
      <c r="J100" s="12"/>
      <c r="K100" s="12"/>
      <c r="L100" s="12"/>
      <c r="M100" s="12"/>
      <c r="N100" s="12"/>
      <c r="O100" s="12"/>
      <c r="P100" s="12"/>
      <c r="Q100" s="12"/>
    </row>
    <row r="101" spans="1:17" ht="60" customHeight="1" x14ac:dyDescent="0.25">
      <c r="A101" s="9">
        <f>IF(F101="","",ROW()-19-COUNTBLANK($F$20:F101))</f>
        <v>68</v>
      </c>
      <c r="B101" s="4" t="s">
        <v>114</v>
      </c>
      <c r="C101" s="4" t="s">
        <v>2478</v>
      </c>
      <c r="D101" s="4"/>
      <c r="E101" s="7" t="s">
        <v>3030</v>
      </c>
      <c r="F101" s="7" t="s">
        <v>3031</v>
      </c>
      <c r="G101" s="3" t="s">
        <v>55</v>
      </c>
      <c r="H101" s="3"/>
      <c r="I101" s="3"/>
      <c r="J101" s="3"/>
      <c r="K101" s="3"/>
      <c r="L101" s="3"/>
      <c r="M101" s="3"/>
      <c r="N101" s="3"/>
      <c r="O101" s="3"/>
      <c r="P101" s="3"/>
      <c r="Q101" s="3"/>
    </row>
    <row r="102" spans="1:17" ht="60" customHeight="1" x14ac:dyDescent="0.25">
      <c r="A102" s="9">
        <f>IF(F102="","",ROW()-19-COUNTBLANK($F$20:F102))</f>
        <v>69</v>
      </c>
      <c r="B102" s="4" t="s">
        <v>118</v>
      </c>
      <c r="C102" s="4" t="s">
        <v>2481</v>
      </c>
      <c r="D102" s="4"/>
      <c r="E102" s="7" t="s">
        <v>3032</v>
      </c>
      <c r="F102" s="7" t="s">
        <v>359</v>
      </c>
      <c r="G102" s="3" t="s">
        <v>55</v>
      </c>
      <c r="H102" s="3"/>
      <c r="I102" s="3"/>
      <c r="J102" s="3"/>
      <c r="K102" s="3"/>
      <c r="L102" s="3"/>
      <c r="M102" s="3"/>
      <c r="N102" s="3"/>
      <c r="O102" s="3"/>
      <c r="P102" s="3"/>
      <c r="Q102" s="3"/>
    </row>
    <row r="103" spans="1:17" ht="60" customHeight="1" x14ac:dyDescent="0.25">
      <c r="A103" s="9">
        <f>IF(F103="","",ROW()-19-COUNTBLANK($F$20:F103))</f>
        <v>70</v>
      </c>
      <c r="B103" s="4" t="s">
        <v>122</v>
      </c>
      <c r="C103" s="4" t="s">
        <v>2483</v>
      </c>
      <c r="D103" s="4"/>
      <c r="E103" s="7" t="s">
        <v>3033</v>
      </c>
      <c r="F103" s="7" t="s">
        <v>2485</v>
      </c>
      <c r="G103" s="3" t="s">
        <v>55</v>
      </c>
      <c r="H103" s="3"/>
      <c r="I103" s="3"/>
      <c r="J103" s="3"/>
      <c r="K103" s="3"/>
      <c r="L103" s="3"/>
      <c r="M103" s="3"/>
      <c r="N103" s="3"/>
      <c r="O103" s="3"/>
      <c r="P103" s="3"/>
      <c r="Q103" s="3"/>
    </row>
    <row r="104" spans="1:17" ht="20.100000000000001" customHeight="1" x14ac:dyDescent="0.25">
      <c r="A104" s="9" t="str">
        <f>IF(F104="","",ROW()-19-COUNTBLANK($F$20:F104))</f>
        <v/>
      </c>
      <c r="B104" s="12" t="s">
        <v>2486</v>
      </c>
      <c r="C104" s="12"/>
      <c r="D104" s="12"/>
      <c r="E104" s="12"/>
      <c r="F104" s="12"/>
      <c r="G104" s="12"/>
      <c r="H104" s="12"/>
      <c r="I104" s="12"/>
      <c r="J104" s="12"/>
      <c r="K104" s="12"/>
      <c r="L104" s="12"/>
      <c r="M104" s="12"/>
      <c r="N104" s="12"/>
      <c r="O104" s="12"/>
      <c r="P104" s="12"/>
      <c r="Q104" s="12"/>
    </row>
    <row r="105" spans="1:17" ht="60" customHeight="1" x14ac:dyDescent="0.25">
      <c r="A105" s="9">
        <f>IF(F105="","",ROW()-19-COUNTBLANK($F$20:F105))</f>
        <v>71</v>
      </c>
      <c r="B105" s="4" t="s">
        <v>114</v>
      </c>
      <c r="C105" s="4" t="s">
        <v>2487</v>
      </c>
      <c r="D105" s="4"/>
      <c r="E105" s="7" t="s">
        <v>3034</v>
      </c>
      <c r="F105" s="7" t="s">
        <v>2489</v>
      </c>
      <c r="G105" s="3" t="s">
        <v>55</v>
      </c>
      <c r="H105" s="3"/>
      <c r="I105" s="3"/>
      <c r="J105" s="3"/>
      <c r="K105" s="3"/>
      <c r="L105" s="3"/>
      <c r="M105" s="3"/>
      <c r="N105" s="3"/>
      <c r="O105" s="3"/>
      <c r="P105" s="3"/>
      <c r="Q105" s="3"/>
    </row>
    <row r="106" spans="1:17" ht="60" customHeight="1" x14ac:dyDescent="0.25">
      <c r="A106" s="9">
        <f>IF(F106="","",ROW()-19-COUNTBLANK($F$20:F106))</f>
        <v>72</v>
      </c>
      <c r="B106" s="4" t="s">
        <v>118</v>
      </c>
      <c r="C106" s="4" t="s">
        <v>2490</v>
      </c>
      <c r="D106" s="4"/>
      <c r="E106" s="7" t="s">
        <v>3035</v>
      </c>
      <c r="F106" s="7" t="s">
        <v>359</v>
      </c>
      <c r="G106" s="3" t="s">
        <v>55</v>
      </c>
      <c r="H106" s="3"/>
      <c r="I106" s="3"/>
      <c r="J106" s="3"/>
      <c r="K106" s="3"/>
      <c r="L106" s="3"/>
      <c r="M106" s="3"/>
      <c r="N106" s="3"/>
      <c r="O106" s="3"/>
      <c r="P106" s="3"/>
      <c r="Q106" s="3"/>
    </row>
    <row r="107" spans="1:17" ht="60" customHeight="1" x14ac:dyDescent="0.25">
      <c r="A107" s="9">
        <f>IF(F107="","",ROW()-19-COUNTBLANK($F$20:F107))</f>
        <v>73</v>
      </c>
      <c r="B107" s="4" t="s">
        <v>122</v>
      </c>
      <c r="C107" s="4" t="s">
        <v>2492</v>
      </c>
      <c r="D107" s="4"/>
      <c r="E107" s="7" t="s">
        <v>3036</v>
      </c>
      <c r="F107" s="7" t="s">
        <v>2494</v>
      </c>
      <c r="G107" s="3" t="s">
        <v>50</v>
      </c>
      <c r="H107" s="3"/>
      <c r="I107" s="3"/>
      <c r="J107" s="3"/>
      <c r="K107" s="3"/>
      <c r="L107" s="3"/>
      <c r="M107" s="3"/>
      <c r="N107" s="3"/>
      <c r="O107" s="3"/>
      <c r="P107" s="3"/>
      <c r="Q107" s="3"/>
    </row>
    <row r="108" spans="1:17" ht="20.100000000000001" customHeight="1" x14ac:dyDescent="0.25">
      <c r="A108" s="9" t="str">
        <f>IF(F108="","",ROW()-19-COUNTBLANK($F$20:F108))</f>
        <v/>
      </c>
      <c r="B108" s="12" t="s">
        <v>2495</v>
      </c>
      <c r="C108" s="12"/>
      <c r="D108" s="12"/>
      <c r="E108" s="12"/>
      <c r="F108" s="12"/>
      <c r="G108" s="12"/>
      <c r="H108" s="12"/>
      <c r="I108" s="12"/>
      <c r="J108" s="12"/>
      <c r="K108" s="12"/>
      <c r="L108" s="12"/>
      <c r="M108" s="12"/>
      <c r="N108" s="12"/>
      <c r="O108" s="12"/>
      <c r="P108" s="12"/>
      <c r="Q108" s="12"/>
    </row>
    <row r="109" spans="1:17" ht="60" customHeight="1" x14ac:dyDescent="0.25">
      <c r="A109" s="9">
        <f>IF(F109="","",ROW()-19-COUNTBLANK($F$20:F109))</f>
        <v>74</v>
      </c>
      <c r="B109" s="4" t="s">
        <v>114</v>
      </c>
      <c r="C109" s="4" t="s">
        <v>2496</v>
      </c>
      <c r="D109" s="4"/>
      <c r="E109" s="7" t="s">
        <v>3037</v>
      </c>
      <c r="F109" s="7" t="s">
        <v>2498</v>
      </c>
      <c r="G109" s="3" t="s">
        <v>55</v>
      </c>
      <c r="H109" s="3"/>
      <c r="I109" s="3"/>
      <c r="J109" s="3"/>
      <c r="K109" s="3"/>
      <c r="L109" s="3"/>
      <c r="M109" s="3"/>
      <c r="N109" s="3"/>
      <c r="O109" s="3"/>
      <c r="P109" s="3"/>
      <c r="Q109" s="3"/>
    </row>
    <row r="110" spans="1:17" ht="60" customHeight="1" x14ac:dyDescent="0.25">
      <c r="A110" s="9">
        <f>IF(F110="","",ROW()-19-COUNTBLANK($F$20:F110))</f>
        <v>75</v>
      </c>
      <c r="B110" s="4" t="s">
        <v>118</v>
      </c>
      <c r="C110" s="4" t="s">
        <v>2499</v>
      </c>
      <c r="D110" s="4"/>
      <c r="E110" s="7" t="s">
        <v>3038</v>
      </c>
      <c r="F110" s="7" t="s">
        <v>359</v>
      </c>
      <c r="G110" s="3" t="s">
        <v>55</v>
      </c>
      <c r="H110" s="3"/>
      <c r="I110" s="3"/>
      <c r="J110" s="3"/>
      <c r="K110" s="3"/>
      <c r="L110" s="3"/>
      <c r="M110" s="3"/>
      <c r="N110" s="3"/>
      <c r="O110" s="3"/>
      <c r="P110" s="3"/>
      <c r="Q110" s="3"/>
    </row>
    <row r="111" spans="1:17" ht="60" customHeight="1" x14ac:dyDescent="0.25">
      <c r="A111" s="9">
        <f>IF(F111="","",ROW()-19-COUNTBLANK($F$20:F111))</f>
        <v>76</v>
      </c>
      <c r="B111" s="4" t="s">
        <v>122</v>
      </c>
      <c r="C111" s="4" t="s">
        <v>2501</v>
      </c>
      <c r="D111" s="4"/>
      <c r="E111" s="7" t="s">
        <v>3039</v>
      </c>
      <c r="F111" s="7" t="s">
        <v>2503</v>
      </c>
      <c r="G111" s="3" t="s">
        <v>50</v>
      </c>
      <c r="H111" s="3"/>
      <c r="I111" s="3"/>
      <c r="J111" s="3"/>
      <c r="K111" s="3"/>
      <c r="L111" s="3"/>
      <c r="M111" s="3"/>
      <c r="N111" s="3"/>
      <c r="O111" s="3"/>
      <c r="P111" s="3"/>
      <c r="Q111" s="3"/>
    </row>
    <row r="112" spans="1:17" ht="20.100000000000001" customHeight="1" x14ac:dyDescent="0.25">
      <c r="A112" s="9" t="str">
        <f>IF(F112="","",ROW()-19-COUNTBLANK($F$20:F112))</f>
        <v/>
      </c>
      <c r="B112" s="12" t="s">
        <v>2504</v>
      </c>
      <c r="C112" s="12"/>
      <c r="D112" s="12"/>
      <c r="E112" s="12"/>
      <c r="F112" s="12"/>
      <c r="G112" s="12"/>
      <c r="H112" s="12"/>
      <c r="I112" s="12"/>
      <c r="J112" s="12"/>
      <c r="K112" s="12"/>
      <c r="L112" s="12"/>
      <c r="M112" s="12"/>
      <c r="N112" s="12"/>
      <c r="O112" s="12"/>
      <c r="P112" s="12"/>
      <c r="Q112" s="12"/>
    </row>
    <row r="113" spans="1:17" ht="60" customHeight="1" x14ac:dyDescent="0.25">
      <c r="A113" s="9">
        <f>IF(F113="","",ROW()-19-COUNTBLANK($F$20:F113))</f>
        <v>77</v>
      </c>
      <c r="B113" s="4" t="s">
        <v>46</v>
      </c>
      <c r="C113" s="4" t="s">
        <v>2505</v>
      </c>
      <c r="D113" s="4"/>
      <c r="E113" s="7" t="s">
        <v>3040</v>
      </c>
      <c r="F113" s="7" t="s">
        <v>2507</v>
      </c>
      <c r="G113" s="3" t="s">
        <v>50</v>
      </c>
      <c r="H113" s="3"/>
      <c r="I113" s="3"/>
      <c r="J113" s="3"/>
      <c r="K113" s="3"/>
      <c r="L113" s="3"/>
      <c r="M113" s="3"/>
      <c r="N113" s="3"/>
      <c r="O113" s="3"/>
      <c r="P113" s="3"/>
      <c r="Q113" s="3"/>
    </row>
    <row r="114" spans="1:17" ht="60" customHeight="1" x14ac:dyDescent="0.25">
      <c r="A114" s="9">
        <f>IF(F114="","",ROW()-19-COUNTBLANK($F$20:F114))</f>
        <v>78</v>
      </c>
      <c r="B114" s="4" t="s">
        <v>51</v>
      </c>
      <c r="C114" s="4" t="s">
        <v>52</v>
      </c>
      <c r="D114" s="4"/>
      <c r="E114" s="7" t="s">
        <v>3041</v>
      </c>
      <c r="F114" s="7" t="s">
        <v>54</v>
      </c>
      <c r="G114" s="3" t="s">
        <v>55</v>
      </c>
      <c r="H114" s="3"/>
      <c r="I114" s="3"/>
      <c r="J114" s="3"/>
      <c r="K114" s="3"/>
      <c r="L114" s="3"/>
      <c r="M114" s="3"/>
      <c r="N114" s="3"/>
      <c r="O114" s="3"/>
      <c r="P114" s="3"/>
      <c r="Q114" s="3"/>
    </row>
    <row r="115" spans="1:17" ht="60" customHeight="1" x14ac:dyDescent="0.25">
      <c r="A115" s="9">
        <f>IF(F115="","",ROW()-19-COUNTBLANK($F$20:F115))</f>
        <v>79</v>
      </c>
      <c r="B115" s="4" t="s">
        <v>56</v>
      </c>
      <c r="C115" s="4" t="s">
        <v>57</v>
      </c>
      <c r="D115" s="4"/>
      <c r="E115" s="7" t="s">
        <v>3042</v>
      </c>
      <c r="F115" s="7" t="s">
        <v>2510</v>
      </c>
      <c r="G115" s="3" t="s">
        <v>55</v>
      </c>
      <c r="H115" s="3"/>
      <c r="I115" s="3"/>
      <c r="J115" s="3"/>
      <c r="K115" s="3"/>
      <c r="L115" s="3"/>
      <c r="M115" s="3"/>
      <c r="N115" s="3"/>
      <c r="O115" s="3"/>
      <c r="P115" s="3"/>
      <c r="Q115" s="3"/>
    </row>
    <row r="116" spans="1:17" ht="60" customHeight="1" x14ac:dyDescent="0.25">
      <c r="A116" s="9">
        <f>IF(F116="","",ROW()-19-COUNTBLANK($F$20:F116))</f>
        <v>80</v>
      </c>
      <c r="B116" s="4" t="s">
        <v>60</v>
      </c>
      <c r="C116" s="4" t="s">
        <v>61</v>
      </c>
      <c r="D116" s="4"/>
      <c r="E116" s="7" t="s">
        <v>3043</v>
      </c>
      <c r="F116" s="7" t="s">
        <v>63</v>
      </c>
      <c r="G116" s="3" t="s">
        <v>55</v>
      </c>
      <c r="H116" s="3"/>
      <c r="I116" s="3"/>
      <c r="J116" s="3"/>
      <c r="K116" s="3"/>
      <c r="L116" s="3"/>
      <c r="M116" s="3"/>
      <c r="N116" s="3"/>
      <c r="O116" s="3"/>
      <c r="P116" s="3"/>
      <c r="Q116" s="3"/>
    </row>
    <row r="117" spans="1:17" ht="60" customHeight="1" x14ac:dyDescent="0.25">
      <c r="A117" s="9">
        <f>IF(F117="","",ROW()-19-COUNTBLANK($F$20:F117))</f>
        <v>81</v>
      </c>
      <c r="B117" s="4" t="s">
        <v>64</v>
      </c>
      <c r="C117" s="4" t="s">
        <v>65</v>
      </c>
      <c r="D117" s="4"/>
      <c r="E117" s="7" t="s">
        <v>3044</v>
      </c>
      <c r="F117" s="7" t="s">
        <v>2513</v>
      </c>
      <c r="G117" s="3" t="s">
        <v>55</v>
      </c>
      <c r="H117" s="3"/>
      <c r="I117" s="3"/>
      <c r="J117" s="3"/>
      <c r="K117" s="3"/>
      <c r="L117" s="3"/>
      <c r="M117" s="3"/>
      <c r="N117" s="3"/>
      <c r="O117" s="3"/>
      <c r="P117" s="3"/>
      <c r="Q117" s="3"/>
    </row>
    <row r="118" spans="1:17" ht="60" customHeight="1" x14ac:dyDescent="0.25">
      <c r="A118" s="9">
        <f>IF(F118="","",ROW()-19-COUNTBLANK($F$20:F118))</f>
        <v>82</v>
      </c>
      <c r="B118" s="4" t="s">
        <v>68</v>
      </c>
      <c r="C118" s="4" t="s">
        <v>69</v>
      </c>
      <c r="D118" s="4" t="s">
        <v>70</v>
      </c>
      <c r="E118" s="7" t="s">
        <v>3045</v>
      </c>
      <c r="F118" s="7" t="s">
        <v>72</v>
      </c>
      <c r="G118" s="3" t="s">
        <v>73</v>
      </c>
      <c r="H118" s="3"/>
      <c r="I118" s="3"/>
      <c r="J118" s="3"/>
      <c r="K118" s="3"/>
      <c r="L118" s="3"/>
      <c r="M118" s="3"/>
      <c r="N118" s="3"/>
      <c r="O118" s="3"/>
      <c r="P118" s="3"/>
      <c r="Q118" s="3"/>
    </row>
    <row r="119" spans="1:17" ht="60" customHeight="1" x14ac:dyDescent="0.25">
      <c r="A119" s="9">
        <f>IF(F119="","",ROW()-19-COUNTBLANK($F$20:F119))</f>
        <v>83</v>
      </c>
      <c r="B119" s="4" t="s">
        <v>2515</v>
      </c>
      <c r="C119" s="4" t="s">
        <v>2516</v>
      </c>
      <c r="D119" s="4"/>
      <c r="E119" s="7" t="s">
        <v>3046</v>
      </c>
      <c r="F119" s="7" t="s">
        <v>2518</v>
      </c>
      <c r="G119" s="3" t="s">
        <v>50</v>
      </c>
      <c r="H119" s="3"/>
      <c r="I119" s="3"/>
      <c r="J119" s="3"/>
      <c r="K119" s="3"/>
      <c r="L119" s="3"/>
      <c r="M119" s="3"/>
      <c r="N119" s="3"/>
      <c r="O119" s="3"/>
      <c r="P119" s="3"/>
      <c r="Q119" s="3"/>
    </row>
    <row r="120" spans="1:17" ht="20.100000000000001" customHeight="1" x14ac:dyDescent="0.25">
      <c r="A120" s="9" t="str">
        <f>IF(F120="","",ROW()-19-COUNTBLANK($F$20:F120))</f>
        <v/>
      </c>
      <c r="B120" s="12" t="s">
        <v>2519</v>
      </c>
      <c r="C120" s="12"/>
      <c r="D120" s="12"/>
      <c r="E120" s="12"/>
      <c r="F120" s="12"/>
      <c r="G120" s="12"/>
      <c r="H120" s="12"/>
      <c r="I120" s="12"/>
      <c r="J120" s="12"/>
      <c r="K120" s="12"/>
      <c r="L120" s="12"/>
      <c r="M120" s="12"/>
      <c r="N120" s="12"/>
      <c r="O120" s="12"/>
      <c r="P120" s="12"/>
      <c r="Q120" s="12"/>
    </row>
    <row r="121" spans="1:17" ht="60" customHeight="1" x14ac:dyDescent="0.25">
      <c r="A121" s="9">
        <f>IF(F121="","",ROW()-19-COUNTBLANK($F$20:F121))</f>
        <v>84</v>
      </c>
      <c r="B121" s="4" t="s">
        <v>216</v>
      </c>
      <c r="C121" s="4" t="s">
        <v>2520</v>
      </c>
      <c r="D121" s="4"/>
      <c r="E121" s="7" t="s">
        <v>3047</v>
      </c>
      <c r="F121" s="7" t="s">
        <v>2522</v>
      </c>
      <c r="G121" s="3" t="s">
        <v>55</v>
      </c>
      <c r="H121" s="3"/>
      <c r="I121" s="3"/>
      <c r="J121" s="3"/>
      <c r="K121" s="3"/>
      <c r="L121" s="3"/>
      <c r="M121" s="3"/>
      <c r="N121" s="3"/>
      <c r="O121" s="3"/>
      <c r="P121" s="3"/>
      <c r="Q121" s="3"/>
    </row>
    <row r="122" spans="1:17" ht="60" customHeight="1" x14ac:dyDescent="0.25">
      <c r="A122" s="9">
        <f>IF(F122="","",ROW()-19-COUNTBLANK($F$20:F122))</f>
        <v>85</v>
      </c>
      <c r="B122" s="4" t="s">
        <v>132</v>
      </c>
      <c r="C122" s="4" t="s">
        <v>2523</v>
      </c>
      <c r="D122" s="4"/>
      <c r="E122" s="7" t="s">
        <v>3047</v>
      </c>
      <c r="F122" s="7" t="s">
        <v>2524</v>
      </c>
      <c r="G122" s="3" t="s">
        <v>55</v>
      </c>
      <c r="H122" s="3"/>
      <c r="I122" s="3"/>
      <c r="J122" s="3"/>
      <c r="K122" s="3"/>
      <c r="L122" s="3"/>
      <c r="M122" s="3"/>
      <c r="N122" s="3"/>
      <c r="O122" s="3"/>
      <c r="P122" s="3"/>
      <c r="Q122" s="3"/>
    </row>
    <row r="123" spans="1:17" ht="60" customHeight="1" x14ac:dyDescent="0.25">
      <c r="A123" s="9">
        <f>IF(F123="","",ROW()-19-COUNTBLANK($F$20:F123))</f>
        <v>86</v>
      </c>
      <c r="B123" s="4" t="s">
        <v>465</v>
      </c>
      <c r="C123" s="4" t="s">
        <v>2525</v>
      </c>
      <c r="D123" s="4"/>
      <c r="E123" s="7" t="s">
        <v>3047</v>
      </c>
      <c r="F123" s="7" t="s">
        <v>2526</v>
      </c>
      <c r="G123" s="3" t="s">
        <v>73</v>
      </c>
      <c r="H123" s="3"/>
      <c r="I123" s="3"/>
      <c r="J123" s="3"/>
      <c r="K123" s="3"/>
      <c r="L123" s="3"/>
      <c r="M123" s="3"/>
      <c r="N123" s="3"/>
      <c r="O123" s="3"/>
      <c r="P123" s="3"/>
      <c r="Q123" s="3"/>
    </row>
    <row r="124" spans="1:17" ht="60" customHeight="1" x14ac:dyDescent="0.25">
      <c r="A124" s="9">
        <f>IF(F124="","",ROW()-19-COUNTBLANK($F$20:F124))</f>
        <v>87</v>
      </c>
      <c r="B124" s="4" t="s">
        <v>469</v>
      </c>
      <c r="C124" s="4" t="s">
        <v>2527</v>
      </c>
      <c r="D124" s="4" t="s">
        <v>2528</v>
      </c>
      <c r="E124" s="7" t="s">
        <v>3048</v>
      </c>
      <c r="F124" s="7" t="s">
        <v>2530</v>
      </c>
      <c r="G124" s="3" t="s">
        <v>50</v>
      </c>
      <c r="H124" s="3"/>
      <c r="I124" s="3"/>
      <c r="J124" s="3"/>
      <c r="K124" s="3"/>
      <c r="L124" s="3"/>
      <c r="M124" s="3"/>
      <c r="N124" s="3"/>
      <c r="O124" s="3"/>
      <c r="P124" s="3"/>
      <c r="Q124" s="3"/>
    </row>
    <row r="125" spans="1:17" ht="60" customHeight="1" x14ac:dyDescent="0.25">
      <c r="A125" s="9">
        <f>IF(F125="","",ROW()-19-COUNTBLANK($F$20:F125))</f>
        <v>88</v>
      </c>
      <c r="B125" s="17" t="s">
        <v>150</v>
      </c>
      <c r="C125" s="17" t="s">
        <v>162</v>
      </c>
      <c r="D125" s="4" t="s">
        <v>2531</v>
      </c>
      <c r="E125" s="7" t="s">
        <v>3049</v>
      </c>
      <c r="F125" s="7" t="s">
        <v>2533</v>
      </c>
      <c r="G125" s="3" t="s">
        <v>50</v>
      </c>
      <c r="H125" s="3"/>
      <c r="I125" s="3"/>
      <c r="J125" s="3"/>
      <c r="K125" s="3"/>
      <c r="L125" s="3"/>
      <c r="M125" s="3"/>
      <c r="N125" s="3"/>
      <c r="O125" s="3"/>
      <c r="P125" s="3"/>
      <c r="Q125" s="3"/>
    </row>
    <row r="126" spans="1:17" ht="60" customHeight="1" x14ac:dyDescent="0.25">
      <c r="A126" s="9">
        <f>IF(F126="","",ROW()-19-COUNTBLANK($F$20:F126))</f>
        <v>89</v>
      </c>
      <c r="B126" s="18"/>
      <c r="C126" s="18"/>
      <c r="D126" s="4" t="s">
        <v>2534</v>
      </c>
      <c r="E126" s="7" t="s">
        <v>3050</v>
      </c>
      <c r="F126" s="7" t="s">
        <v>2536</v>
      </c>
      <c r="G126" s="3" t="s">
        <v>50</v>
      </c>
      <c r="H126" s="3"/>
      <c r="I126" s="3"/>
      <c r="J126" s="3"/>
      <c r="K126" s="3"/>
      <c r="L126" s="3"/>
      <c r="M126" s="3"/>
      <c r="N126" s="3"/>
      <c r="O126" s="3"/>
      <c r="P126" s="3"/>
      <c r="Q126" s="3"/>
    </row>
    <row r="127" spans="1:17" ht="60" customHeight="1" x14ac:dyDescent="0.25">
      <c r="A127" s="9">
        <f>IF(F127="","",ROW()-19-COUNTBLANK($F$20:F127))</f>
        <v>90</v>
      </c>
      <c r="B127" s="18"/>
      <c r="C127" s="19"/>
      <c r="D127" s="4" t="s">
        <v>2537</v>
      </c>
      <c r="E127" s="7" t="s">
        <v>3051</v>
      </c>
      <c r="F127" s="7" t="s">
        <v>2539</v>
      </c>
      <c r="G127" s="3" t="s">
        <v>50</v>
      </c>
      <c r="H127" s="3"/>
      <c r="I127" s="3"/>
      <c r="J127" s="3"/>
      <c r="K127" s="3"/>
      <c r="L127" s="3"/>
      <c r="M127" s="3"/>
      <c r="N127" s="3"/>
      <c r="O127" s="3"/>
      <c r="P127" s="3"/>
      <c r="Q127" s="3"/>
    </row>
    <row r="128" spans="1:17" ht="60" customHeight="1" x14ac:dyDescent="0.25">
      <c r="A128" s="9">
        <f>IF(F128="","",ROW()-19-COUNTBLANK($F$20:F128))</f>
        <v>91</v>
      </c>
      <c r="B128" s="18"/>
      <c r="C128" s="17" t="s">
        <v>151</v>
      </c>
      <c r="D128" s="4" t="s">
        <v>2540</v>
      </c>
      <c r="E128" s="7" t="s">
        <v>3052</v>
      </c>
      <c r="F128" s="7" t="s">
        <v>2542</v>
      </c>
      <c r="G128" s="3" t="s">
        <v>50</v>
      </c>
      <c r="H128" s="3"/>
      <c r="I128" s="3"/>
      <c r="J128" s="3"/>
      <c r="K128" s="3"/>
      <c r="L128" s="3"/>
      <c r="M128" s="3"/>
      <c r="N128" s="3"/>
      <c r="O128" s="3"/>
      <c r="P128" s="3"/>
      <c r="Q128" s="3"/>
    </row>
    <row r="129" spans="1:17" ht="60" customHeight="1" x14ac:dyDescent="0.25">
      <c r="A129" s="9">
        <f>IF(F129="","",ROW()-19-COUNTBLANK($F$20:F129))</f>
        <v>92</v>
      </c>
      <c r="B129" s="18"/>
      <c r="C129" s="18"/>
      <c r="D129" s="4" t="s">
        <v>2543</v>
      </c>
      <c r="E129" s="7" t="s">
        <v>3053</v>
      </c>
      <c r="F129" s="7" t="s">
        <v>2545</v>
      </c>
      <c r="G129" s="3" t="s">
        <v>55</v>
      </c>
      <c r="H129" s="3"/>
      <c r="I129" s="3"/>
      <c r="J129" s="3"/>
      <c r="K129" s="3"/>
      <c r="L129" s="3"/>
      <c r="M129" s="3"/>
      <c r="N129" s="3"/>
      <c r="O129" s="3"/>
      <c r="P129" s="3"/>
      <c r="Q129" s="3"/>
    </row>
    <row r="130" spans="1:17" ht="60" customHeight="1" x14ac:dyDescent="0.25">
      <c r="A130" s="9">
        <f>IF(F130="","",ROW()-19-COUNTBLANK($F$20:F130))</f>
        <v>93</v>
      </c>
      <c r="B130" s="18"/>
      <c r="C130" s="18"/>
      <c r="D130" s="4" t="s">
        <v>2546</v>
      </c>
      <c r="E130" s="7" t="s">
        <v>3054</v>
      </c>
      <c r="F130" s="7" t="s">
        <v>2548</v>
      </c>
      <c r="G130" s="3" t="s">
        <v>55</v>
      </c>
      <c r="H130" s="3"/>
      <c r="I130" s="3"/>
      <c r="J130" s="3"/>
      <c r="K130" s="3"/>
      <c r="L130" s="3"/>
      <c r="M130" s="3"/>
      <c r="N130" s="3"/>
      <c r="O130" s="3"/>
      <c r="P130" s="3"/>
      <c r="Q130" s="3"/>
    </row>
    <row r="131" spans="1:17" ht="60" customHeight="1" x14ac:dyDescent="0.25">
      <c r="A131" s="9">
        <f>IF(F131="","",ROW()-19-COUNTBLANK($F$20:F131))</f>
        <v>94</v>
      </c>
      <c r="B131" s="18"/>
      <c r="C131" s="19"/>
      <c r="D131" s="4" t="s">
        <v>2549</v>
      </c>
      <c r="E131" s="7" t="s">
        <v>3055</v>
      </c>
      <c r="F131" s="7" t="s">
        <v>2551</v>
      </c>
      <c r="G131" s="3" t="s">
        <v>55</v>
      </c>
      <c r="H131" s="3"/>
      <c r="I131" s="3"/>
      <c r="J131" s="3"/>
      <c r="K131" s="3"/>
      <c r="L131" s="3"/>
      <c r="M131" s="3"/>
      <c r="N131" s="3"/>
      <c r="O131" s="3"/>
      <c r="P131" s="3"/>
      <c r="Q131" s="3"/>
    </row>
    <row r="132" spans="1:17" ht="60" customHeight="1" x14ac:dyDescent="0.25">
      <c r="A132" s="9">
        <f>IF(F132="","",ROW()-19-COUNTBLANK($F$20:F132))</f>
        <v>95</v>
      </c>
      <c r="B132" s="18"/>
      <c r="C132" s="17" t="s">
        <v>2552</v>
      </c>
      <c r="D132" s="4" t="s">
        <v>2553</v>
      </c>
      <c r="E132" s="7" t="s">
        <v>3056</v>
      </c>
      <c r="F132" s="7" t="s">
        <v>2533</v>
      </c>
      <c r="G132" s="3" t="s">
        <v>55</v>
      </c>
      <c r="H132" s="3"/>
      <c r="I132" s="3"/>
      <c r="J132" s="3"/>
      <c r="K132" s="3"/>
      <c r="L132" s="3"/>
      <c r="M132" s="3"/>
      <c r="N132" s="3"/>
      <c r="O132" s="3"/>
      <c r="P132" s="3"/>
      <c r="Q132" s="3"/>
    </row>
    <row r="133" spans="1:17" ht="60" customHeight="1" x14ac:dyDescent="0.25">
      <c r="A133" s="9">
        <f>IF(F133="","",ROW()-19-COUNTBLANK($F$20:F133))</f>
        <v>96</v>
      </c>
      <c r="B133" s="18"/>
      <c r="C133" s="18"/>
      <c r="D133" s="4" t="s">
        <v>2555</v>
      </c>
      <c r="E133" s="7" t="s">
        <v>3057</v>
      </c>
      <c r="F133" s="7" t="s">
        <v>2533</v>
      </c>
      <c r="G133" s="3" t="s">
        <v>55</v>
      </c>
      <c r="H133" s="3"/>
      <c r="I133" s="3"/>
      <c r="J133" s="3"/>
      <c r="K133" s="3"/>
      <c r="L133" s="3"/>
      <c r="M133" s="3"/>
      <c r="N133" s="3"/>
      <c r="O133" s="3"/>
      <c r="P133" s="3"/>
      <c r="Q133" s="3"/>
    </row>
    <row r="134" spans="1:17" ht="60" customHeight="1" x14ac:dyDescent="0.25">
      <c r="A134" s="9">
        <f>IF(F134="","",ROW()-19-COUNTBLANK($F$20:F134))</f>
        <v>97</v>
      </c>
      <c r="B134" s="18"/>
      <c r="C134" s="18"/>
      <c r="D134" s="4" t="s">
        <v>2557</v>
      </c>
      <c r="E134" s="7" t="s">
        <v>3058</v>
      </c>
      <c r="F134" s="7" t="s">
        <v>2533</v>
      </c>
      <c r="G134" s="3" t="s">
        <v>55</v>
      </c>
      <c r="H134" s="3"/>
      <c r="I134" s="3"/>
      <c r="J134" s="3"/>
      <c r="K134" s="3"/>
      <c r="L134" s="3"/>
      <c r="M134" s="3"/>
      <c r="N134" s="3"/>
      <c r="O134" s="3"/>
      <c r="P134" s="3"/>
      <c r="Q134" s="3"/>
    </row>
    <row r="135" spans="1:17" ht="60" customHeight="1" x14ac:dyDescent="0.25">
      <c r="A135" s="9">
        <f>IF(F135="","",ROW()-19-COUNTBLANK($F$20:F135))</f>
        <v>98</v>
      </c>
      <c r="B135" s="18"/>
      <c r="C135" s="18"/>
      <c r="D135" s="4" t="s">
        <v>2559</v>
      </c>
      <c r="E135" s="7" t="s">
        <v>3059</v>
      </c>
      <c r="F135" s="7" t="s">
        <v>2533</v>
      </c>
      <c r="G135" s="3" t="s">
        <v>55</v>
      </c>
      <c r="H135" s="3"/>
      <c r="I135" s="3"/>
      <c r="J135" s="3"/>
      <c r="K135" s="3"/>
      <c r="L135" s="3"/>
      <c r="M135" s="3"/>
      <c r="N135" s="3"/>
      <c r="O135" s="3"/>
      <c r="P135" s="3"/>
      <c r="Q135" s="3"/>
    </row>
    <row r="136" spans="1:17" ht="60" customHeight="1" x14ac:dyDescent="0.25">
      <c r="A136" s="9">
        <f>IF(F136="","",ROW()-19-COUNTBLANK($F$20:F136))</f>
        <v>99</v>
      </c>
      <c r="B136" s="18"/>
      <c r="C136" s="18"/>
      <c r="D136" s="4" t="s">
        <v>2561</v>
      </c>
      <c r="E136" s="7" t="s">
        <v>3060</v>
      </c>
      <c r="F136" s="7" t="s">
        <v>2533</v>
      </c>
      <c r="G136" s="3" t="s">
        <v>55</v>
      </c>
      <c r="H136" s="3"/>
      <c r="I136" s="3"/>
      <c r="J136" s="3"/>
      <c r="K136" s="3"/>
      <c r="L136" s="3"/>
      <c r="M136" s="3"/>
      <c r="N136" s="3"/>
      <c r="O136" s="3"/>
      <c r="P136" s="3"/>
      <c r="Q136" s="3"/>
    </row>
    <row r="137" spans="1:17" ht="60" customHeight="1" x14ac:dyDescent="0.25">
      <c r="A137" s="9">
        <f>IF(F137="","",ROW()-19-COUNTBLANK($F$20:F137))</f>
        <v>100</v>
      </c>
      <c r="B137" s="18"/>
      <c r="C137" s="19"/>
      <c r="D137" s="4" t="s">
        <v>2563</v>
      </c>
      <c r="E137" s="7" t="s">
        <v>3061</v>
      </c>
      <c r="F137" s="7" t="s">
        <v>2533</v>
      </c>
      <c r="G137" s="3" t="s">
        <v>55</v>
      </c>
      <c r="H137" s="3"/>
      <c r="I137" s="3"/>
      <c r="J137" s="3"/>
      <c r="K137" s="3"/>
      <c r="L137" s="3"/>
      <c r="M137" s="3"/>
      <c r="N137" s="3"/>
      <c r="O137" s="3"/>
      <c r="P137" s="3"/>
      <c r="Q137" s="3"/>
    </row>
    <row r="138" spans="1:17" ht="60" customHeight="1" x14ac:dyDescent="0.25">
      <c r="A138" s="9">
        <f>IF(F138="","",ROW()-19-COUNTBLANK($F$20:F138))</f>
        <v>101</v>
      </c>
      <c r="B138" s="18"/>
      <c r="C138" s="17" t="s">
        <v>2565</v>
      </c>
      <c r="D138" s="4" t="s">
        <v>2566</v>
      </c>
      <c r="E138" s="7" t="s">
        <v>3062</v>
      </c>
      <c r="F138" s="7" t="s">
        <v>2568</v>
      </c>
      <c r="G138" s="3" t="s">
        <v>50</v>
      </c>
      <c r="H138" s="3"/>
      <c r="I138" s="3"/>
      <c r="J138" s="3"/>
      <c r="K138" s="3"/>
      <c r="L138" s="3"/>
      <c r="M138" s="3"/>
      <c r="N138" s="3"/>
      <c r="O138" s="3"/>
      <c r="P138" s="3"/>
      <c r="Q138" s="3"/>
    </row>
    <row r="139" spans="1:17" ht="60" customHeight="1" x14ac:dyDescent="0.25">
      <c r="A139" s="9">
        <f>IF(F139="","",ROW()-19-COUNTBLANK($F$20:F139))</f>
        <v>102</v>
      </c>
      <c r="B139" s="18"/>
      <c r="C139" s="18"/>
      <c r="D139" s="4" t="s">
        <v>2569</v>
      </c>
      <c r="E139" s="7" t="s">
        <v>3063</v>
      </c>
      <c r="F139" s="7" t="s">
        <v>2571</v>
      </c>
      <c r="G139" s="3" t="s">
        <v>50</v>
      </c>
      <c r="H139" s="3"/>
      <c r="I139" s="3"/>
      <c r="J139" s="3"/>
      <c r="K139" s="3"/>
      <c r="L139" s="3"/>
      <c r="M139" s="3"/>
      <c r="N139" s="3"/>
      <c r="O139" s="3"/>
      <c r="P139" s="3"/>
      <c r="Q139" s="3"/>
    </row>
    <row r="140" spans="1:17" ht="60" customHeight="1" x14ac:dyDescent="0.25">
      <c r="A140" s="9">
        <f>IF(F140="","",ROW()-19-COUNTBLANK($F$20:F140))</f>
        <v>103</v>
      </c>
      <c r="B140" s="18"/>
      <c r="C140" s="18"/>
      <c r="D140" s="4" t="s">
        <v>2572</v>
      </c>
      <c r="E140" s="7" t="s">
        <v>3064</v>
      </c>
      <c r="F140" s="7" t="s">
        <v>2574</v>
      </c>
      <c r="G140" s="3" t="s">
        <v>55</v>
      </c>
      <c r="H140" s="3"/>
      <c r="I140" s="3"/>
      <c r="J140" s="3"/>
      <c r="K140" s="3"/>
      <c r="L140" s="3"/>
      <c r="M140" s="3"/>
      <c r="N140" s="3"/>
      <c r="O140" s="3"/>
      <c r="P140" s="3"/>
      <c r="Q140" s="3"/>
    </row>
    <row r="141" spans="1:17" ht="60" customHeight="1" x14ac:dyDescent="0.25">
      <c r="A141" s="9">
        <f>IF(F141="","",ROW()-19-COUNTBLANK($F$20:F141))</f>
        <v>104</v>
      </c>
      <c r="B141" s="19"/>
      <c r="C141" s="19"/>
      <c r="D141" s="4" t="s">
        <v>2575</v>
      </c>
      <c r="E141" s="7" t="s">
        <v>3065</v>
      </c>
      <c r="F141" s="7" t="s">
        <v>2577</v>
      </c>
      <c r="G141" s="3" t="s">
        <v>50</v>
      </c>
      <c r="H141" s="3"/>
      <c r="I141" s="3"/>
      <c r="J141" s="3"/>
      <c r="K141" s="3"/>
      <c r="L141" s="3"/>
      <c r="M141" s="3"/>
      <c r="N141" s="3"/>
      <c r="O141" s="3"/>
      <c r="P141" s="3"/>
      <c r="Q141" s="3"/>
    </row>
    <row r="142" spans="1:17" ht="60" customHeight="1" x14ac:dyDescent="0.25">
      <c r="A142" s="9">
        <f>IF(F142="","",ROW()-19-COUNTBLANK($F$20:F142))</f>
        <v>105</v>
      </c>
      <c r="B142" s="17" t="s">
        <v>186</v>
      </c>
      <c r="C142" s="17" t="s">
        <v>198</v>
      </c>
      <c r="D142" s="4" t="s">
        <v>2531</v>
      </c>
      <c r="E142" s="7" t="s">
        <v>3066</v>
      </c>
      <c r="F142" s="7" t="s">
        <v>2533</v>
      </c>
      <c r="G142" s="3" t="s">
        <v>50</v>
      </c>
      <c r="H142" s="3"/>
      <c r="I142" s="3"/>
      <c r="J142" s="3"/>
      <c r="K142" s="3"/>
      <c r="L142" s="3"/>
      <c r="M142" s="3"/>
      <c r="N142" s="3"/>
      <c r="O142" s="3"/>
      <c r="P142" s="3"/>
      <c r="Q142" s="3"/>
    </row>
    <row r="143" spans="1:17" ht="60" customHeight="1" x14ac:dyDescent="0.25">
      <c r="A143" s="9">
        <f>IF(F143="","",ROW()-19-COUNTBLANK($F$20:F143))</f>
        <v>106</v>
      </c>
      <c r="B143" s="18"/>
      <c r="C143" s="18"/>
      <c r="D143" s="4" t="s">
        <v>2534</v>
      </c>
      <c r="E143" s="7" t="s">
        <v>3067</v>
      </c>
      <c r="F143" s="7" t="s">
        <v>2580</v>
      </c>
      <c r="G143" s="3" t="s">
        <v>50</v>
      </c>
      <c r="H143" s="3"/>
      <c r="I143" s="3"/>
      <c r="J143" s="3"/>
      <c r="K143" s="3"/>
      <c r="L143" s="3"/>
      <c r="M143" s="3"/>
      <c r="N143" s="3"/>
      <c r="O143" s="3"/>
      <c r="P143" s="3"/>
      <c r="Q143" s="3"/>
    </row>
    <row r="144" spans="1:17" ht="60" customHeight="1" x14ac:dyDescent="0.25">
      <c r="A144" s="9">
        <f>IF(F144="","",ROW()-19-COUNTBLANK($F$20:F144))</f>
        <v>107</v>
      </c>
      <c r="B144" s="18"/>
      <c r="C144" s="19"/>
      <c r="D144" s="4" t="s">
        <v>2537</v>
      </c>
      <c r="E144" s="7" t="s">
        <v>3068</v>
      </c>
      <c r="F144" s="7" t="s">
        <v>2582</v>
      </c>
      <c r="G144" s="3" t="s">
        <v>50</v>
      </c>
      <c r="H144" s="3"/>
      <c r="I144" s="3"/>
      <c r="J144" s="3"/>
      <c r="K144" s="3"/>
      <c r="L144" s="3"/>
      <c r="M144" s="3"/>
      <c r="N144" s="3"/>
      <c r="O144" s="3"/>
      <c r="P144" s="3"/>
      <c r="Q144" s="3"/>
    </row>
    <row r="145" spans="1:17" ht="60" customHeight="1" x14ac:dyDescent="0.25">
      <c r="A145" s="9">
        <f>IF(F145="","",ROW()-19-COUNTBLANK($F$20:F145))</f>
        <v>108</v>
      </c>
      <c r="B145" s="18"/>
      <c r="C145" s="17" t="s">
        <v>187</v>
      </c>
      <c r="D145" s="4" t="s">
        <v>2583</v>
      </c>
      <c r="E145" s="7" t="s">
        <v>3069</v>
      </c>
      <c r="F145" s="7" t="s">
        <v>2585</v>
      </c>
      <c r="G145" s="3" t="s">
        <v>50</v>
      </c>
      <c r="H145" s="3"/>
      <c r="I145" s="3"/>
      <c r="J145" s="3"/>
      <c r="K145" s="3"/>
      <c r="L145" s="3"/>
      <c r="M145" s="3"/>
      <c r="N145" s="3"/>
      <c r="O145" s="3"/>
      <c r="P145" s="3"/>
      <c r="Q145" s="3"/>
    </row>
    <row r="146" spans="1:17" ht="60" customHeight="1" x14ac:dyDescent="0.25">
      <c r="A146" s="9">
        <f>IF(F146="","",ROW()-19-COUNTBLANK($F$20:F146))</f>
        <v>109</v>
      </c>
      <c r="B146" s="18"/>
      <c r="C146" s="18"/>
      <c r="D146" s="4" t="s">
        <v>2586</v>
      </c>
      <c r="E146" s="7" t="s">
        <v>3070</v>
      </c>
      <c r="F146" s="7" t="s">
        <v>2588</v>
      </c>
      <c r="G146" s="3" t="s">
        <v>55</v>
      </c>
      <c r="H146" s="3"/>
      <c r="I146" s="3"/>
      <c r="J146" s="3"/>
      <c r="K146" s="3"/>
      <c r="L146" s="3"/>
      <c r="M146" s="3"/>
      <c r="N146" s="3"/>
      <c r="O146" s="3"/>
      <c r="P146" s="3"/>
      <c r="Q146" s="3"/>
    </row>
    <row r="147" spans="1:17" ht="60" customHeight="1" x14ac:dyDescent="0.25">
      <c r="A147" s="9">
        <f>IF(F147="","",ROW()-19-COUNTBLANK($F$20:F147))</f>
        <v>110</v>
      </c>
      <c r="B147" s="18"/>
      <c r="C147" s="18"/>
      <c r="D147" s="4" t="s">
        <v>2589</v>
      </c>
      <c r="E147" s="7" t="s">
        <v>3071</v>
      </c>
      <c r="F147" s="7" t="s">
        <v>2591</v>
      </c>
      <c r="G147" s="3" t="s">
        <v>55</v>
      </c>
      <c r="H147" s="3"/>
      <c r="I147" s="3"/>
      <c r="J147" s="3"/>
      <c r="K147" s="3"/>
      <c r="L147" s="3"/>
      <c r="M147" s="3"/>
      <c r="N147" s="3"/>
      <c r="O147" s="3"/>
      <c r="P147" s="3"/>
      <c r="Q147" s="3"/>
    </row>
    <row r="148" spans="1:17" ht="60" customHeight="1" x14ac:dyDescent="0.25">
      <c r="A148" s="9">
        <f>IF(F148="","",ROW()-19-COUNTBLANK($F$20:F148))</f>
        <v>111</v>
      </c>
      <c r="B148" s="18"/>
      <c r="C148" s="19"/>
      <c r="D148" s="4" t="s">
        <v>2592</v>
      </c>
      <c r="E148" s="7" t="s">
        <v>3072</v>
      </c>
      <c r="F148" s="7" t="s">
        <v>2591</v>
      </c>
      <c r="G148" s="3" t="s">
        <v>55</v>
      </c>
      <c r="H148" s="3"/>
      <c r="I148" s="3"/>
      <c r="J148" s="3"/>
      <c r="K148" s="3"/>
      <c r="L148" s="3"/>
      <c r="M148" s="3"/>
      <c r="N148" s="3"/>
      <c r="O148" s="3"/>
      <c r="P148" s="3"/>
      <c r="Q148" s="3"/>
    </row>
    <row r="149" spans="1:17" ht="60" customHeight="1" x14ac:dyDescent="0.25">
      <c r="A149" s="9">
        <f>IF(F149="","",ROW()-19-COUNTBLANK($F$20:F149))</f>
        <v>112</v>
      </c>
      <c r="B149" s="18"/>
      <c r="C149" s="17" t="s">
        <v>2594</v>
      </c>
      <c r="D149" s="4" t="s">
        <v>2595</v>
      </c>
      <c r="E149" s="7" t="s">
        <v>3073</v>
      </c>
      <c r="F149" s="7" t="s">
        <v>2533</v>
      </c>
      <c r="G149" s="3" t="s">
        <v>55</v>
      </c>
      <c r="H149" s="3"/>
      <c r="I149" s="3"/>
      <c r="J149" s="3"/>
      <c r="K149" s="3"/>
      <c r="L149" s="3"/>
      <c r="M149" s="3"/>
      <c r="N149" s="3"/>
      <c r="O149" s="3"/>
      <c r="P149" s="3"/>
      <c r="Q149" s="3"/>
    </row>
    <row r="150" spans="1:17" ht="60" customHeight="1" x14ac:dyDescent="0.25">
      <c r="A150" s="9">
        <f>IF(F150="","",ROW()-19-COUNTBLANK($F$20:F150))</f>
        <v>113</v>
      </c>
      <c r="B150" s="18"/>
      <c r="C150" s="18"/>
      <c r="D150" s="4" t="s">
        <v>2597</v>
      </c>
      <c r="E150" s="7" t="s">
        <v>3074</v>
      </c>
      <c r="F150" s="7" t="s">
        <v>2533</v>
      </c>
      <c r="G150" s="3" t="s">
        <v>55</v>
      </c>
      <c r="H150" s="3"/>
      <c r="I150" s="3"/>
      <c r="J150" s="3"/>
      <c r="K150" s="3"/>
      <c r="L150" s="3"/>
      <c r="M150" s="3"/>
      <c r="N150" s="3"/>
      <c r="O150" s="3"/>
      <c r="P150" s="3"/>
      <c r="Q150" s="3"/>
    </row>
    <row r="151" spans="1:17" ht="60" customHeight="1" x14ac:dyDescent="0.25">
      <c r="A151" s="9">
        <f>IF(F151="","",ROW()-19-COUNTBLANK($F$20:F151))</f>
        <v>114</v>
      </c>
      <c r="B151" s="18"/>
      <c r="C151" s="18"/>
      <c r="D151" s="4" t="s">
        <v>2599</v>
      </c>
      <c r="E151" s="7" t="s">
        <v>3075</v>
      </c>
      <c r="F151" s="7" t="s">
        <v>2533</v>
      </c>
      <c r="G151" s="3" t="s">
        <v>55</v>
      </c>
      <c r="H151" s="3"/>
      <c r="I151" s="3"/>
      <c r="J151" s="3"/>
      <c r="K151" s="3"/>
      <c r="L151" s="3"/>
      <c r="M151" s="3"/>
      <c r="N151" s="3"/>
      <c r="O151" s="3"/>
      <c r="P151" s="3"/>
      <c r="Q151" s="3"/>
    </row>
    <row r="152" spans="1:17" ht="60" customHeight="1" x14ac:dyDescent="0.25">
      <c r="A152" s="9">
        <f>IF(F152="","",ROW()-19-COUNTBLANK($F$20:F152))</f>
        <v>115</v>
      </c>
      <c r="B152" s="18"/>
      <c r="C152" s="18"/>
      <c r="D152" s="4" t="s">
        <v>2601</v>
      </c>
      <c r="E152" s="7" t="s">
        <v>3076</v>
      </c>
      <c r="F152" s="7" t="s">
        <v>2533</v>
      </c>
      <c r="G152" s="3" t="s">
        <v>55</v>
      </c>
      <c r="H152" s="3"/>
      <c r="I152" s="3"/>
      <c r="J152" s="3"/>
      <c r="K152" s="3"/>
      <c r="L152" s="3"/>
      <c r="M152" s="3"/>
      <c r="N152" s="3"/>
      <c r="O152" s="3"/>
      <c r="P152" s="3"/>
      <c r="Q152" s="3"/>
    </row>
    <row r="153" spans="1:17" ht="60" customHeight="1" x14ac:dyDescent="0.25">
      <c r="A153" s="9">
        <f>IF(F153="","",ROW()-19-COUNTBLANK($F$20:F153))</f>
        <v>116</v>
      </c>
      <c r="B153" s="18"/>
      <c r="C153" s="18"/>
      <c r="D153" s="4" t="s">
        <v>2603</v>
      </c>
      <c r="E153" s="7" t="s">
        <v>3077</v>
      </c>
      <c r="F153" s="7" t="s">
        <v>2533</v>
      </c>
      <c r="G153" s="3" t="s">
        <v>55</v>
      </c>
      <c r="H153" s="3"/>
      <c r="I153" s="3"/>
      <c r="J153" s="3"/>
      <c r="K153" s="3"/>
      <c r="L153" s="3"/>
      <c r="M153" s="3"/>
      <c r="N153" s="3"/>
      <c r="O153" s="3"/>
      <c r="P153" s="3"/>
      <c r="Q153" s="3"/>
    </row>
    <row r="154" spans="1:17" ht="60" customHeight="1" x14ac:dyDescent="0.25">
      <c r="A154" s="9">
        <f>IF(F154="","",ROW()-19-COUNTBLANK($F$20:F154))</f>
        <v>117</v>
      </c>
      <c r="B154" s="18"/>
      <c r="C154" s="19"/>
      <c r="D154" s="4" t="s">
        <v>2605</v>
      </c>
      <c r="E154" s="7" t="s">
        <v>3078</v>
      </c>
      <c r="F154" s="7" t="s">
        <v>2533</v>
      </c>
      <c r="G154" s="3" t="s">
        <v>55</v>
      </c>
      <c r="H154" s="3"/>
      <c r="I154" s="3"/>
      <c r="J154" s="3"/>
      <c r="K154" s="3"/>
      <c r="L154" s="3"/>
      <c r="M154" s="3"/>
      <c r="N154" s="3"/>
      <c r="O154" s="3"/>
      <c r="P154" s="3"/>
      <c r="Q154" s="3"/>
    </row>
    <row r="155" spans="1:17" ht="60" customHeight="1" x14ac:dyDescent="0.25">
      <c r="A155" s="9">
        <f>IF(F155="","",ROW()-19-COUNTBLANK($F$20:F155))</f>
        <v>118</v>
      </c>
      <c r="B155" s="18"/>
      <c r="C155" s="17" t="s">
        <v>2607</v>
      </c>
      <c r="D155" s="4" t="s">
        <v>2566</v>
      </c>
      <c r="E155" s="7" t="s">
        <v>3079</v>
      </c>
      <c r="F155" s="7" t="s">
        <v>2609</v>
      </c>
      <c r="G155" s="3" t="s">
        <v>50</v>
      </c>
      <c r="H155" s="3"/>
      <c r="I155" s="3"/>
      <c r="J155" s="3"/>
      <c r="K155" s="3"/>
      <c r="L155" s="3"/>
      <c r="M155" s="3"/>
      <c r="N155" s="3"/>
      <c r="O155" s="3"/>
      <c r="P155" s="3"/>
      <c r="Q155" s="3"/>
    </row>
    <row r="156" spans="1:17" ht="60" customHeight="1" x14ac:dyDescent="0.25">
      <c r="A156" s="9">
        <f>IF(F156="","",ROW()-19-COUNTBLANK($F$20:F156))</f>
        <v>119</v>
      </c>
      <c r="B156" s="18"/>
      <c r="C156" s="18"/>
      <c r="D156" s="4" t="s">
        <v>2610</v>
      </c>
      <c r="E156" s="7" t="s">
        <v>3080</v>
      </c>
      <c r="F156" s="7" t="s">
        <v>2612</v>
      </c>
      <c r="G156" s="3" t="s">
        <v>50</v>
      </c>
      <c r="H156" s="3"/>
      <c r="I156" s="3"/>
      <c r="J156" s="3"/>
      <c r="K156" s="3"/>
      <c r="L156" s="3"/>
      <c r="M156" s="3"/>
      <c r="N156" s="3"/>
      <c r="O156" s="3"/>
      <c r="P156" s="3"/>
      <c r="Q156" s="3"/>
    </row>
    <row r="157" spans="1:17" ht="60" customHeight="1" x14ac:dyDescent="0.25">
      <c r="A157" s="9">
        <f>IF(F157="","",ROW()-19-COUNTBLANK($F$20:F157))</f>
        <v>120</v>
      </c>
      <c r="B157" s="18"/>
      <c r="C157" s="18"/>
      <c r="D157" s="4" t="s">
        <v>2613</v>
      </c>
      <c r="E157" s="7" t="s">
        <v>3081</v>
      </c>
      <c r="F157" s="7" t="s">
        <v>2615</v>
      </c>
      <c r="G157" s="3" t="s">
        <v>55</v>
      </c>
      <c r="H157" s="3"/>
      <c r="I157" s="3"/>
      <c r="J157" s="3"/>
      <c r="K157" s="3"/>
      <c r="L157" s="3"/>
      <c r="M157" s="3"/>
      <c r="N157" s="3"/>
      <c r="O157" s="3"/>
      <c r="P157" s="3"/>
      <c r="Q157" s="3"/>
    </row>
    <row r="158" spans="1:17" ht="60" customHeight="1" x14ac:dyDescent="0.25">
      <c r="A158" s="9">
        <f>IF(F158="","",ROW()-19-COUNTBLANK($F$20:F158))</f>
        <v>121</v>
      </c>
      <c r="B158" s="19"/>
      <c r="C158" s="19"/>
      <c r="D158" s="4" t="s">
        <v>2616</v>
      </c>
      <c r="E158" s="7" t="s">
        <v>3082</v>
      </c>
      <c r="F158" s="7" t="s">
        <v>2618</v>
      </c>
      <c r="G158" s="3" t="s">
        <v>50</v>
      </c>
      <c r="H158" s="3"/>
      <c r="I158" s="3"/>
      <c r="J158" s="3"/>
      <c r="K158" s="3"/>
      <c r="L158" s="3"/>
      <c r="M158" s="3"/>
      <c r="N158" s="3"/>
      <c r="O158" s="3"/>
      <c r="P158" s="3"/>
      <c r="Q158" s="3"/>
    </row>
    <row r="159" spans="1:17" ht="60" customHeight="1" x14ac:dyDescent="0.25">
      <c r="A159" s="9">
        <f>IF(F159="","",ROW()-19-COUNTBLANK($F$20:F159))</f>
        <v>122</v>
      </c>
      <c r="B159" s="4" t="s">
        <v>2619</v>
      </c>
      <c r="C159" s="4" t="s">
        <v>2620</v>
      </c>
      <c r="D159" s="4" t="s">
        <v>2621</v>
      </c>
      <c r="E159" s="7" t="s">
        <v>3083</v>
      </c>
      <c r="F159" s="7" t="s">
        <v>2623</v>
      </c>
      <c r="G159" s="3" t="s">
        <v>55</v>
      </c>
      <c r="H159" s="3"/>
      <c r="I159" s="3"/>
      <c r="J159" s="3"/>
      <c r="K159" s="3"/>
      <c r="L159" s="3"/>
      <c r="M159" s="3"/>
      <c r="N159" s="3"/>
      <c r="O159" s="3"/>
      <c r="P159" s="3"/>
      <c r="Q159" s="3"/>
    </row>
    <row r="160" spans="1:17" ht="60" customHeight="1" x14ac:dyDescent="0.25">
      <c r="A160" s="9">
        <f>IF(F160="","",ROW()-19-COUNTBLANK($F$20:F160))</f>
        <v>123</v>
      </c>
      <c r="B160" s="4" t="s">
        <v>2624</v>
      </c>
      <c r="C160" s="4" t="s">
        <v>2625</v>
      </c>
      <c r="D160" s="4" t="s">
        <v>2626</v>
      </c>
      <c r="E160" s="7" t="s">
        <v>3084</v>
      </c>
      <c r="F160" s="7" t="s">
        <v>2628</v>
      </c>
      <c r="G160" s="3" t="s">
        <v>55</v>
      </c>
      <c r="H160" s="3"/>
      <c r="I160" s="3"/>
      <c r="J160" s="3"/>
      <c r="K160" s="3"/>
      <c r="L160" s="3"/>
      <c r="M160" s="3"/>
      <c r="N160" s="3"/>
      <c r="O160" s="3"/>
      <c r="P160" s="3"/>
      <c r="Q160" s="3"/>
    </row>
    <row r="161" spans="1:17" ht="60" customHeight="1" x14ac:dyDescent="0.25">
      <c r="A161" s="9">
        <f>IF(F161="","",ROW()-19-COUNTBLANK($F$20:F161))</f>
        <v>124</v>
      </c>
      <c r="B161" s="4" t="s">
        <v>2629</v>
      </c>
      <c r="C161" s="4" t="s">
        <v>2630</v>
      </c>
      <c r="D161" s="4" t="s">
        <v>2631</v>
      </c>
      <c r="E161" s="7" t="s">
        <v>3085</v>
      </c>
      <c r="F161" s="7" t="s">
        <v>2633</v>
      </c>
      <c r="G161" s="3" t="s">
        <v>73</v>
      </c>
      <c r="H161" s="3"/>
      <c r="I161" s="3"/>
      <c r="J161" s="3"/>
      <c r="K161" s="3"/>
      <c r="L161" s="3"/>
      <c r="M161" s="3"/>
      <c r="N161" s="3"/>
      <c r="O161" s="3"/>
      <c r="P161" s="3"/>
      <c r="Q161" s="3"/>
    </row>
    <row r="162" spans="1:17" ht="20.100000000000001" customHeight="1" x14ac:dyDescent="0.25">
      <c r="A162" s="9" t="str">
        <f>IF(F162="","",ROW()-19-COUNTBLANK($F$20:F162))</f>
        <v/>
      </c>
      <c r="B162" s="12" t="s">
        <v>2634</v>
      </c>
      <c r="C162" s="12"/>
      <c r="D162" s="12"/>
      <c r="E162" s="12"/>
      <c r="F162" s="12"/>
      <c r="G162" s="12"/>
      <c r="H162" s="12"/>
      <c r="I162" s="12"/>
      <c r="J162" s="12"/>
      <c r="K162" s="12"/>
      <c r="L162" s="12"/>
      <c r="M162" s="12"/>
      <c r="N162" s="12"/>
      <c r="O162" s="12"/>
      <c r="P162" s="12"/>
      <c r="Q162" s="12"/>
    </row>
    <row r="163" spans="1:17" ht="60" customHeight="1" x14ac:dyDescent="0.25">
      <c r="A163" s="9">
        <f>IF(F163="","",ROW()-19-COUNTBLANK($F$20:F163))</f>
        <v>125</v>
      </c>
      <c r="B163" s="4" t="s">
        <v>2635</v>
      </c>
      <c r="C163" s="4" t="s">
        <v>2496</v>
      </c>
      <c r="D163" s="4"/>
      <c r="E163" s="7" t="s">
        <v>3086</v>
      </c>
      <c r="F163" s="7" t="s">
        <v>2637</v>
      </c>
      <c r="G163" s="3" t="s">
        <v>55</v>
      </c>
      <c r="H163" s="3"/>
      <c r="I163" s="3"/>
      <c r="J163" s="3"/>
      <c r="K163" s="3"/>
      <c r="L163" s="3"/>
      <c r="M163" s="3"/>
      <c r="N163" s="3"/>
      <c r="O163" s="3"/>
      <c r="P163" s="3"/>
      <c r="Q163" s="3"/>
    </row>
    <row r="164" spans="1:17" ht="60" customHeight="1" x14ac:dyDescent="0.25">
      <c r="A164" s="9">
        <f>IF(F164="","",ROW()-19-COUNTBLANK($F$20:F164))</f>
        <v>126</v>
      </c>
      <c r="B164" s="4" t="s">
        <v>2638</v>
      </c>
      <c r="C164" s="4" t="s">
        <v>2499</v>
      </c>
      <c r="D164" s="4"/>
      <c r="E164" s="7" t="s">
        <v>3087</v>
      </c>
      <c r="F164" s="7" t="s">
        <v>2640</v>
      </c>
      <c r="G164" s="3" t="s">
        <v>55</v>
      </c>
      <c r="H164" s="3"/>
      <c r="I164" s="3"/>
      <c r="J164" s="3"/>
      <c r="K164" s="3"/>
      <c r="L164" s="3"/>
      <c r="M164" s="3"/>
      <c r="N164" s="3"/>
      <c r="O164" s="3"/>
      <c r="P164" s="3"/>
      <c r="Q164" s="3"/>
    </row>
    <row r="165" spans="1:17" ht="60" customHeight="1" x14ac:dyDescent="0.25">
      <c r="A165" s="9">
        <f>IF(F165="","",ROW()-19-COUNTBLANK($F$20:F165))</f>
        <v>127</v>
      </c>
      <c r="B165" s="4" t="s">
        <v>2641</v>
      </c>
      <c r="C165" s="4" t="s">
        <v>2501</v>
      </c>
      <c r="D165" s="4" t="s">
        <v>2642</v>
      </c>
      <c r="E165" s="7" t="s">
        <v>3088</v>
      </c>
      <c r="F165" s="7" t="s">
        <v>2644</v>
      </c>
      <c r="G165" s="3" t="s">
        <v>50</v>
      </c>
      <c r="H165" s="3"/>
      <c r="I165" s="3"/>
      <c r="J165" s="3"/>
      <c r="K165" s="3"/>
      <c r="L165" s="3"/>
      <c r="M165" s="3"/>
      <c r="N165" s="3"/>
      <c r="O165" s="3"/>
      <c r="P165" s="3"/>
      <c r="Q165" s="3"/>
    </row>
    <row r="166" spans="1:17" ht="20.100000000000001" customHeight="1" x14ac:dyDescent="0.25">
      <c r="A166" s="9" t="str">
        <f>IF(F166="","",ROW()-19-COUNTBLANK($F$20:F166))</f>
        <v/>
      </c>
      <c r="B166" s="12" t="s">
        <v>2645</v>
      </c>
      <c r="C166" s="12"/>
      <c r="D166" s="12"/>
      <c r="E166" s="12"/>
      <c r="F166" s="12"/>
      <c r="G166" s="12"/>
      <c r="H166" s="12"/>
      <c r="I166" s="12"/>
      <c r="J166" s="12"/>
      <c r="K166" s="12"/>
      <c r="L166" s="12"/>
      <c r="M166" s="12"/>
      <c r="N166" s="12"/>
      <c r="O166" s="12"/>
      <c r="P166" s="12"/>
      <c r="Q166" s="12"/>
    </row>
    <row r="167" spans="1:17" ht="60" customHeight="1" x14ac:dyDescent="0.25">
      <c r="A167" s="9">
        <f>IF(F167="","",ROW()-19-COUNTBLANK($F$20:F167))</f>
        <v>128</v>
      </c>
      <c r="B167" s="4" t="s">
        <v>2646</v>
      </c>
      <c r="C167" s="4" t="s">
        <v>2478</v>
      </c>
      <c r="D167" s="4"/>
      <c r="E167" s="7" t="s">
        <v>3089</v>
      </c>
      <c r="F167" s="7" t="s">
        <v>2648</v>
      </c>
      <c r="G167" s="3" t="s">
        <v>55</v>
      </c>
      <c r="H167" s="3"/>
      <c r="I167" s="3"/>
      <c r="J167" s="3"/>
      <c r="K167" s="3"/>
      <c r="L167" s="3"/>
      <c r="M167" s="3"/>
      <c r="N167" s="3"/>
      <c r="O167" s="3"/>
      <c r="P167" s="3"/>
      <c r="Q167" s="3"/>
    </row>
    <row r="168" spans="1:17" ht="60" customHeight="1" x14ac:dyDescent="0.25">
      <c r="A168" s="9">
        <f>IF(F168="","",ROW()-19-COUNTBLANK($F$20:F168))</f>
        <v>129</v>
      </c>
      <c r="B168" s="4" t="s">
        <v>2649</v>
      </c>
      <c r="C168" s="4" t="s">
        <v>2481</v>
      </c>
      <c r="D168" s="4"/>
      <c r="E168" s="7" t="s">
        <v>3089</v>
      </c>
      <c r="F168" s="7" t="s">
        <v>2650</v>
      </c>
      <c r="G168" s="3" t="s">
        <v>55</v>
      </c>
      <c r="H168" s="3"/>
      <c r="I168" s="3"/>
      <c r="J168" s="3"/>
      <c r="K168" s="3"/>
      <c r="L168" s="3"/>
      <c r="M168" s="3"/>
      <c r="N168" s="3"/>
      <c r="O168" s="3"/>
      <c r="P168" s="3"/>
      <c r="Q168" s="3"/>
    </row>
    <row r="169" spans="1:17" ht="60" customHeight="1" x14ac:dyDescent="0.25">
      <c r="A169" s="9">
        <f>IF(F169="","",ROW()-19-COUNTBLANK($F$20:F169))</f>
        <v>130</v>
      </c>
      <c r="B169" s="4" t="s">
        <v>2651</v>
      </c>
      <c r="C169" s="4" t="s">
        <v>2483</v>
      </c>
      <c r="D169" s="4" t="s">
        <v>2652</v>
      </c>
      <c r="E169" s="7" t="s">
        <v>3090</v>
      </c>
      <c r="F169" s="7" t="s">
        <v>2654</v>
      </c>
      <c r="G169" s="3" t="s">
        <v>50</v>
      </c>
      <c r="H169" s="3"/>
      <c r="I169" s="3"/>
      <c r="J169" s="3"/>
      <c r="K169" s="3"/>
      <c r="L169" s="3"/>
      <c r="M169" s="3"/>
      <c r="N169" s="3"/>
      <c r="O169" s="3"/>
      <c r="P169" s="3"/>
      <c r="Q169" s="3"/>
    </row>
    <row r="170" spans="1:17" ht="20.100000000000001" customHeight="1" x14ac:dyDescent="0.25">
      <c r="A170" s="9" t="str">
        <f>IF(F170="","",ROW()-19-COUNTBLANK($F$20:F170))</f>
        <v/>
      </c>
      <c r="B170" s="12" t="s">
        <v>2655</v>
      </c>
      <c r="C170" s="12"/>
      <c r="D170" s="12"/>
      <c r="E170" s="12"/>
      <c r="F170" s="12"/>
      <c r="G170" s="12"/>
      <c r="H170" s="12"/>
      <c r="I170" s="12"/>
      <c r="J170" s="12"/>
      <c r="K170" s="12"/>
      <c r="L170" s="12"/>
      <c r="M170" s="12"/>
      <c r="N170" s="12"/>
      <c r="O170" s="12"/>
      <c r="P170" s="12"/>
      <c r="Q170" s="12"/>
    </row>
    <row r="171" spans="1:17" ht="60" customHeight="1" x14ac:dyDescent="0.25">
      <c r="A171" s="9">
        <f>IF(F171="","",ROW()-19-COUNTBLANK($F$20:F171))</f>
        <v>131</v>
      </c>
      <c r="B171" s="4" t="s">
        <v>311</v>
      </c>
      <c r="C171" s="4" t="s">
        <v>312</v>
      </c>
      <c r="D171" s="4"/>
      <c r="E171" s="7" t="s">
        <v>3091</v>
      </c>
      <c r="F171" s="7" t="s">
        <v>2657</v>
      </c>
      <c r="G171" s="3" t="s">
        <v>73</v>
      </c>
      <c r="H171" s="3"/>
      <c r="I171" s="3"/>
      <c r="J171" s="3"/>
      <c r="K171" s="3"/>
      <c r="L171" s="3"/>
      <c r="M171" s="3"/>
      <c r="N171" s="3"/>
      <c r="O171" s="3"/>
      <c r="P171" s="3"/>
      <c r="Q171" s="3"/>
    </row>
    <row r="172" spans="1:17" ht="60" customHeight="1" x14ac:dyDescent="0.25">
      <c r="A172" s="9">
        <f>IF(F172="","",ROW()-19-COUNTBLANK($F$20:F172))</f>
        <v>132</v>
      </c>
      <c r="B172" s="4" t="s">
        <v>315</v>
      </c>
      <c r="C172" s="4" t="s">
        <v>316</v>
      </c>
      <c r="D172" s="4" t="s">
        <v>2658</v>
      </c>
      <c r="E172" s="7" t="s">
        <v>3092</v>
      </c>
      <c r="F172" s="7" t="s">
        <v>2660</v>
      </c>
      <c r="G172" s="3" t="s">
        <v>55</v>
      </c>
      <c r="H172" s="3"/>
      <c r="I172" s="3"/>
      <c r="J172" s="3"/>
      <c r="K172" s="3"/>
      <c r="L172" s="3"/>
      <c r="M172" s="3"/>
      <c r="N172" s="3"/>
      <c r="O172" s="3"/>
      <c r="P172" s="3"/>
      <c r="Q172" s="3"/>
    </row>
    <row r="173" spans="1:17" ht="20.100000000000001" customHeight="1" x14ac:dyDescent="0.25">
      <c r="A173" s="9" t="str">
        <f>IF(F173="","",ROW()-19-COUNTBLANK($F$20:F173))</f>
        <v/>
      </c>
      <c r="B173" s="12" t="s">
        <v>2661</v>
      </c>
      <c r="C173" s="12"/>
      <c r="D173" s="12"/>
      <c r="E173" s="12"/>
      <c r="F173" s="12"/>
      <c r="G173" s="12"/>
      <c r="H173" s="12"/>
      <c r="I173" s="12"/>
      <c r="J173" s="12"/>
      <c r="K173" s="12"/>
      <c r="L173" s="12"/>
      <c r="M173" s="12"/>
      <c r="N173" s="12"/>
      <c r="O173" s="12"/>
      <c r="P173" s="12"/>
      <c r="Q173" s="12"/>
    </row>
    <row r="174" spans="1:17" ht="60" customHeight="1" x14ac:dyDescent="0.25">
      <c r="A174" s="9">
        <f>IF(F174="","",ROW()-19-COUNTBLANK($F$20:F174))</f>
        <v>133</v>
      </c>
      <c r="B174" s="4" t="s">
        <v>46</v>
      </c>
      <c r="C174" s="4" t="s">
        <v>2662</v>
      </c>
      <c r="D174" s="4"/>
      <c r="E174" s="7" t="s">
        <v>3093</v>
      </c>
      <c r="F174" s="7" t="s">
        <v>2664</v>
      </c>
      <c r="G174" s="3" t="s">
        <v>50</v>
      </c>
      <c r="H174" s="3"/>
      <c r="I174" s="3"/>
      <c r="J174" s="3"/>
      <c r="K174" s="3"/>
      <c r="L174" s="3"/>
      <c r="M174" s="3"/>
      <c r="N174" s="3"/>
      <c r="O174" s="3"/>
      <c r="P174" s="3"/>
      <c r="Q174" s="3"/>
    </row>
    <row r="175" spans="1:17" ht="60" customHeight="1" x14ac:dyDescent="0.25">
      <c r="A175" s="9">
        <f>IF(F175="","",ROW()-19-COUNTBLANK($F$20:F175))</f>
        <v>134</v>
      </c>
      <c r="B175" s="4" t="s">
        <v>51</v>
      </c>
      <c r="C175" s="4" t="s">
        <v>52</v>
      </c>
      <c r="D175" s="4"/>
      <c r="E175" s="7" t="s">
        <v>3094</v>
      </c>
      <c r="F175" s="7" t="s">
        <v>54</v>
      </c>
      <c r="G175" s="3" t="s">
        <v>55</v>
      </c>
      <c r="H175" s="3"/>
      <c r="I175" s="3"/>
      <c r="J175" s="3"/>
      <c r="K175" s="3"/>
      <c r="L175" s="3"/>
      <c r="M175" s="3"/>
      <c r="N175" s="3"/>
      <c r="O175" s="3"/>
      <c r="P175" s="3"/>
      <c r="Q175" s="3"/>
    </row>
    <row r="176" spans="1:17" ht="60" customHeight="1" x14ac:dyDescent="0.25">
      <c r="A176" s="9">
        <f>IF(F176="","",ROW()-19-COUNTBLANK($F$20:F176))</f>
        <v>135</v>
      </c>
      <c r="B176" s="4" t="s">
        <v>56</v>
      </c>
      <c r="C176" s="4" t="s">
        <v>57</v>
      </c>
      <c r="D176" s="4"/>
      <c r="E176" s="7" t="s">
        <v>3095</v>
      </c>
      <c r="F176" s="7" t="s">
        <v>2667</v>
      </c>
      <c r="G176" s="3" t="s">
        <v>55</v>
      </c>
      <c r="H176" s="3"/>
      <c r="I176" s="3"/>
      <c r="J176" s="3"/>
      <c r="K176" s="3"/>
      <c r="L176" s="3"/>
      <c r="M176" s="3"/>
      <c r="N176" s="3"/>
      <c r="O176" s="3"/>
      <c r="P176" s="3"/>
      <c r="Q176" s="3"/>
    </row>
    <row r="177" spans="1:17" ht="60" customHeight="1" x14ac:dyDescent="0.25">
      <c r="A177" s="9">
        <f>IF(F177="","",ROW()-19-COUNTBLANK($F$20:F177))</f>
        <v>136</v>
      </c>
      <c r="B177" s="4" t="s">
        <v>60</v>
      </c>
      <c r="C177" s="4" t="s">
        <v>61</v>
      </c>
      <c r="D177" s="4"/>
      <c r="E177" s="7" t="s">
        <v>3096</v>
      </c>
      <c r="F177" s="7" t="s">
        <v>63</v>
      </c>
      <c r="G177" s="3" t="s">
        <v>55</v>
      </c>
      <c r="H177" s="3"/>
      <c r="I177" s="3"/>
      <c r="J177" s="3"/>
      <c r="K177" s="3"/>
      <c r="L177" s="3"/>
      <c r="M177" s="3"/>
      <c r="N177" s="3"/>
      <c r="O177" s="3"/>
      <c r="P177" s="3"/>
      <c r="Q177" s="3"/>
    </row>
    <row r="178" spans="1:17" ht="60" customHeight="1" x14ac:dyDescent="0.25">
      <c r="A178" s="9">
        <f>IF(F178="","",ROW()-19-COUNTBLANK($F$20:F178))</f>
        <v>137</v>
      </c>
      <c r="B178" s="4" t="s">
        <v>64</v>
      </c>
      <c r="C178" s="4" t="s">
        <v>65</v>
      </c>
      <c r="D178" s="4"/>
      <c r="E178" s="7" t="s">
        <v>3097</v>
      </c>
      <c r="F178" s="7" t="s">
        <v>2670</v>
      </c>
      <c r="G178" s="3" t="s">
        <v>55</v>
      </c>
      <c r="H178" s="3"/>
      <c r="I178" s="3"/>
      <c r="J178" s="3"/>
      <c r="K178" s="3"/>
      <c r="L178" s="3"/>
      <c r="M178" s="3"/>
      <c r="N178" s="3"/>
      <c r="O178" s="3"/>
      <c r="P178" s="3"/>
      <c r="Q178" s="3"/>
    </row>
    <row r="179" spans="1:17" ht="60" customHeight="1" x14ac:dyDescent="0.25">
      <c r="A179" s="9">
        <f>IF(F179="","",ROW()-19-COUNTBLANK($F$20:F179))</f>
        <v>138</v>
      </c>
      <c r="B179" s="4" t="s">
        <v>68</v>
      </c>
      <c r="C179" s="4" t="s">
        <v>69</v>
      </c>
      <c r="D179" s="4" t="s">
        <v>70</v>
      </c>
      <c r="E179" s="7" t="s">
        <v>3098</v>
      </c>
      <c r="F179" s="7" t="s">
        <v>72</v>
      </c>
      <c r="G179" s="3" t="s">
        <v>73</v>
      </c>
      <c r="H179" s="3"/>
      <c r="I179" s="3"/>
      <c r="J179" s="3"/>
      <c r="K179" s="3"/>
      <c r="L179" s="3"/>
      <c r="M179" s="3"/>
      <c r="N179" s="3"/>
      <c r="O179" s="3"/>
      <c r="P179" s="3"/>
      <c r="Q179" s="3"/>
    </row>
    <row r="180" spans="1:17" ht="60" customHeight="1" x14ac:dyDescent="0.25">
      <c r="A180" s="9">
        <f>IF(F180="","",ROW()-19-COUNTBLANK($F$20:F180))</f>
        <v>139</v>
      </c>
      <c r="B180" s="4" t="s">
        <v>2515</v>
      </c>
      <c r="C180" s="4" t="s">
        <v>2672</v>
      </c>
      <c r="D180" s="4"/>
      <c r="E180" s="7" t="s">
        <v>3099</v>
      </c>
      <c r="F180" s="7" t="s">
        <v>2674</v>
      </c>
      <c r="G180" s="3" t="s">
        <v>50</v>
      </c>
      <c r="H180" s="3"/>
      <c r="I180" s="3"/>
      <c r="J180" s="3"/>
      <c r="K180" s="3"/>
      <c r="L180" s="3"/>
      <c r="M180" s="3"/>
      <c r="N180" s="3"/>
      <c r="O180" s="3"/>
      <c r="P180" s="3"/>
      <c r="Q180" s="3"/>
    </row>
    <row r="181" spans="1:17" ht="20.100000000000001" customHeight="1" x14ac:dyDescent="0.25">
      <c r="A181" s="9" t="str">
        <f>IF(F181="","",ROW()-19-COUNTBLANK($F$20:F181))</f>
        <v/>
      </c>
      <c r="B181" s="12" t="s">
        <v>2675</v>
      </c>
      <c r="C181" s="12"/>
      <c r="D181" s="12"/>
      <c r="E181" s="12"/>
      <c r="F181" s="12"/>
      <c r="G181" s="12"/>
      <c r="H181" s="12"/>
      <c r="I181" s="12"/>
      <c r="J181" s="12"/>
      <c r="K181" s="12"/>
      <c r="L181" s="12"/>
      <c r="M181" s="12"/>
      <c r="N181" s="12"/>
      <c r="O181" s="12"/>
      <c r="P181" s="12"/>
      <c r="Q181" s="12"/>
    </row>
    <row r="182" spans="1:17" ht="60" customHeight="1" x14ac:dyDescent="0.25">
      <c r="A182" s="9">
        <f>IF(F182="","",ROW()-19-COUNTBLANK($F$20:F182))</f>
        <v>140</v>
      </c>
      <c r="B182" s="4" t="s">
        <v>216</v>
      </c>
      <c r="C182" s="4" t="s">
        <v>2520</v>
      </c>
      <c r="D182" s="4"/>
      <c r="E182" s="7" t="s">
        <v>3100</v>
      </c>
      <c r="F182" s="7" t="s">
        <v>2522</v>
      </c>
      <c r="G182" s="3" t="s">
        <v>55</v>
      </c>
      <c r="H182" s="3"/>
      <c r="I182" s="3"/>
      <c r="J182" s="3"/>
      <c r="K182" s="3"/>
      <c r="L182" s="3"/>
      <c r="M182" s="3"/>
      <c r="N182" s="3"/>
      <c r="O182" s="3"/>
      <c r="P182" s="3"/>
      <c r="Q182" s="3"/>
    </row>
    <row r="183" spans="1:17" ht="60" customHeight="1" x14ac:dyDescent="0.25">
      <c r="A183" s="9">
        <f>IF(F183="","",ROW()-19-COUNTBLANK($F$20:F183))</f>
        <v>141</v>
      </c>
      <c r="B183" s="4" t="s">
        <v>132</v>
      </c>
      <c r="C183" s="4" t="s">
        <v>2523</v>
      </c>
      <c r="D183" s="4"/>
      <c r="E183" s="7" t="s">
        <v>3100</v>
      </c>
      <c r="F183" s="7" t="s">
        <v>2524</v>
      </c>
      <c r="G183" s="3" t="s">
        <v>55</v>
      </c>
      <c r="H183" s="3"/>
      <c r="I183" s="3"/>
      <c r="J183" s="3"/>
      <c r="K183" s="3"/>
      <c r="L183" s="3"/>
      <c r="M183" s="3"/>
      <c r="N183" s="3"/>
      <c r="O183" s="3"/>
      <c r="P183" s="3"/>
      <c r="Q183" s="3"/>
    </row>
    <row r="184" spans="1:17" ht="60" customHeight="1" x14ac:dyDescent="0.25">
      <c r="A184" s="9">
        <f>IF(F184="","",ROW()-19-COUNTBLANK($F$20:F184))</f>
        <v>142</v>
      </c>
      <c r="B184" s="4" t="s">
        <v>465</v>
      </c>
      <c r="C184" s="4" t="s">
        <v>2525</v>
      </c>
      <c r="D184" s="4"/>
      <c r="E184" s="7" t="s">
        <v>3100</v>
      </c>
      <c r="F184" s="7" t="s">
        <v>2526</v>
      </c>
      <c r="G184" s="3" t="s">
        <v>73</v>
      </c>
      <c r="H184" s="3"/>
      <c r="I184" s="3"/>
      <c r="J184" s="3"/>
      <c r="K184" s="3"/>
      <c r="L184" s="3"/>
      <c r="M184" s="3"/>
      <c r="N184" s="3"/>
      <c r="O184" s="3"/>
      <c r="P184" s="3"/>
      <c r="Q184" s="3"/>
    </row>
    <row r="185" spans="1:17" ht="60" customHeight="1" x14ac:dyDescent="0.25">
      <c r="A185" s="9">
        <f>IF(F185="","",ROW()-19-COUNTBLANK($F$20:F185))</f>
        <v>143</v>
      </c>
      <c r="B185" s="4" t="s">
        <v>469</v>
      </c>
      <c r="C185" s="4" t="s">
        <v>2527</v>
      </c>
      <c r="D185" s="4" t="s">
        <v>2528</v>
      </c>
      <c r="E185" s="7" t="s">
        <v>3101</v>
      </c>
      <c r="F185" s="7" t="s">
        <v>2530</v>
      </c>
      <c r="G185" s="3" t="s">
        <v>50</v>
      </c>
      <c r="H185" s="3"/>
      <c r="I185" s="3"/>
      <c r="J185" s="3"/>
      <c r="K185" s="3"/>
      <c r="L185" s="3"/>
      <c r="M185" s="3"/>
      <c r="N185" s="3"/>
      <c r="O185" s="3"/>
      <c r="P185" s="3"/>
      <c r="Q185" s="3"/>
    </row>
    <row r="186" spans="1:17" ht="60" customHeight="1" x14ac:dyDescent="0.25">
      <c r="A186" s="9">
        <f>IF(F186="","",ROW()-19-COUNTBLANK($F$20:F186))</f>
        <v>144</v>
      </c>
      <c r="B186" s="17" t="s">
        <v>150</v>
      </c>
      <c r="C186" s="17" t="s">
        <v>162</v>
      </c>
      <c r="D186" s="4" t="s">
        <v>2531</v>
      </c>
      <c r="E186" s="7" t="s">
        <v>3102</v>
      </c>
      <c r="F186" s="7" t="s">
        <v>2533</v>
      </c>
      <c r="G186" s="3" t="s">
        <v>50</v>
      </c>
      <c r="H186" s="3"/>
      <c r="I186" s="3"/>
      <c r="J186" s="3"/>
      <c r="K186" s="3"/>
      <c r="L186" s="3"/>
      <c r="M186" s="3"/>
      <c r="N186" s="3"/>
      <c r="O186" s="3"/>
      <c r="P186" s="3"/>
      <c r="Q186" s="3"/>
    </row>
    <row r="187" spans="1:17" ht="60" customHeight="1" x14ac:dyDescent="0.25">
      <c r="A187" s="9">
        <f>IF(F187="","",ROW()-19-COUNTBLANK($F$20:F187))</f>
        <v>145</v>
      </c>
      <c r="B187" s="18"/>
      <c r="C187" s="18"/>
      <c r="D187" s="4" t="s">
        <v>2534</v>
      </c>
      <c r="E187" s="7" t="s">
        <v>3103</v>
      </c>
      <c r="F187" s="7" t="s">
        <v>2536</v>
      </c>
      <c r="G187" s="3" t="s">
        <v>50</v>
      </c>
      <c r="H187" s="3"/>
      <c r="I187" s="3"/>
      <c r="J187" s="3"/>
      <c r="K187" s="3"/>
      <c r="L187" s="3"/>
      <c r="M187" s="3"/>
      <c r="N187" s="3"/>
      <c r="O187" s="3"/>
      <c r="P187" s="3"/>
      <c r="Q187" s="3"/>
    </row>
    <row r="188" spans="1:17" ht="60" customHeight="1" x14ac:dyDescent="0.25">
      <c r="A188" s="9">
        <f>IF(F188="","",ROW()-19-COUNTBLANK($F$20:F188))</f>
        <v>146</v>
      </c>
      <c r="B188" s="18"/>
      <c r="C188" s="19"/>
      <c r="D188" s="4" t="s">
        <v>2537</v>
      </c>
      <c r="E188" s="7" t="s">
        <v>3104</v>
      </c>
      <c r="F188" s="7" t="s">
        <v>2539</v>
      </c>
      <c r="G188" s="3" t="s">
        <v>50</v>
      </c>
      <c r="H188" s="3"/>
      <c r="I188" s="3"/>
      <c r="J188" s="3"/>
      <c r="K188" s="3"/>
      <c r="L188" s="3"/>
      <c r="M188" s="3"/>
      <c r="N188" s="3"/>
      <c r="O188" s="3"/>
      <c r="P188" s="3"/>
      <c r="Q188" s="3"/>
    </row>
    <row r="189" spans="1:17" ht="60" customHeight="1" x14ac:dyDescent="0.25">
      <c r="A189" s="9">
        <f>IF(F189="","",ROW()-19-COUNTBLANK($F$20:F189))</f>
        <v>147</v>
      </c>
      <c r="B189" s="18"/>
      <c r="C189" s="17" t="s">
        <v>151</v>
      </c>
      <c r="D189" s="4" t="s">
        <v>2540</v>
      </c>
      <c r="E189" s="7" t="s">
        <v>3105</v>
      </c>
      <c r="F189" s="7" t="s">
        <v>2542</v>
      </c>
      <c r="G189" s="3" t="s">
        <v>50</v>
      </c>
      <c r="H189" s="3"/>
      <c r="I189" s="3"/>
      <c r="J189" s="3"/>
      <c r="K189" s="3"/>
      <c r="L189" s="3"/>
      <c r="M189" s="3"/>
      <c r="N189" s="3"/>
      <c r="O189" s="3"/>
      <c r="P189" s="3"/>
      <c r="Q189" s="3"/>
    </row>
    <row r="190" spans="1:17" ht="60" customHeight="1" x14ac:dyDescent="0.25">
      <c r="A190" s="9">
        <f>IF(F190="","",ROW()-19-COUNTBLANK($F$20:F190))</f>
        <v>148</v>
      </c>
      <c r="B190" s="18"/>
      <c r="C190" s="18"/>
      <c r="D190" s="4" t="s">
        <v>2543</v>
      </c>
      <c r="E190" s="7" t="s">
        <v>3106</v>
      </c>
      <c r="F190" s="7" t="s">
        <v>2545</v>
      </c>
      <c r="G190" s="3" t="s">
        <v>55</v>
      </c>
      <c r="H190" s="3"/>
      <c r="I190" s="3"/>
      <c r="J190" s="3"/>
      <c r="K190" s="3"/>
      <c r="L190" s="3"/>
      <c r="M190" s="3"/>
      <c r="N190" s="3"/>
      <c r="O190" s="3"/>
      <c r="P190" s="3"/>
      <c r="Q190" s="3"/>
    </row>
    <row r="191" spans="1:17" ht="60" customHeight="1" x14ac:dyDescent="0.25">
      <c r="A191" s="9">
        <f>IF(F191="","",ROW()-19-COUNTBLANK($F$20:F191))</f>
        <v>149</v>
      </c>
      <c r="B191" s="18"/>
      <c r="C191" s="18"/>
      <c r="D191" s="4" t="s">
        <v>2546</v>
      </c>
      <c r="E191" s="7" t="s">
        <v>3107</v>
      </c>
      <c r="F191" s="7" t="s">
        <v>2548</v>
      </c>
      <c r="G191" s="3" t="s">
        <v>55</v>
      </c>
      <c r="H191" s="3"/>
      <c r="I191" s="3"/>
      <c r="J191" s="3"/>
      <c r="K191" s="3"/>
      <c r="L191" s="3"/>
      <c r="M191" s="3"/>
      <c r="N191" s="3"/>
      <c r="O191" s="3"/>
      <c r="P191" s="3"/>
      <c r="Q191" s="3"/>
    </row>
    <row r="192" spans="1:17" ht="60" customHeight="1" x14ac:dyDescent="0.25">
      <c r="A192" s="9">
        <f>IF(F192="","",ROW()-19-COUNTBLANK($F$20:F192))</f>
        <v>150</v>
      </c>
      <c r="B192" s="18"/>
      <c r="C192" s="19"/>
      <c r="D192" s="4" t="s">
        <v>2549</v>
      </c>
      <c r="E192" s="7" t="s">
        <v>3108</v>
      </c>
      <c r="F192" s="7" t="s">
        <v>2551</v>
      </c>
      <c r="G192" s="3" t="s">
        <v>55</v>
      </c>
      <c r="H192" s="3"/>
      <c r="I192" s="3"/>
      <c r="J192" s="3"/>
      <c r="K192" s="3"/>
      <c r="L192" s="3"/>
      <c r="M192" s="3"/>
      <c r="N192" s="3"/>
      <c r="O192" s="3"/>
      <c r="P192" s="3"/>
      <c r="Q192" s="3"/>
    </row>
    <row r="193" spans="1:17" ht="60" customHeight="1" x14ac:dyDescent="0.25">
      <c r="A193" s="9">
        <f>IF(F193="","",ROW()-19-COUNTBLANK($F$20:F193))</f>
        <v>151</v>
      </c>
      <c r="B193" s="18"/>
      <c r="C193" s="17" t="s">
        <v>2552</v>
      </c>
      <c r="D193" s="4" t="s">
        <v>2553</v>
      </c>
      <c r="E193" s="7" t="s">
        <v>3109</v>
      </c>
      <c r="F193" s="7" t="s">
        <v>2533</v>
      </c>
      <c r="G193" s="3" t="s">
        <v>55</v>
      </c>
      <c r="H193" s="3"/>
      <c r="I193" s="3"/>
      <c r="J193" s="3"/>
      <c r="K193" s="3"/>
      <c r="L193" s="3"/>
      <c r="M193" s="3"/>
      <c r="N193" s="3"/>
      <c r="O193" s="3"/>
      <c r="P193" s="3"/>
      <c r="Q193" s="3"/>
    </row>
    <row r="194" spans="1:17" ht="60" customHeight="1" x14ac:dyDescent="0.25">
      <c r="A194" s="9">
        <f>IF(F194="","",ROW()-19-COUNTBLANK($F$20:F194))</f>
        <v>152</v>
      </c>
      <c r="B194" s="18"/>
      <c r="C194" s="18"/>
      <c r="D194" s="4" t="s">
        <v>2555</v>
      </c>
      <c r="E194" s="7" t="s">
        <v>3110</v>
      </c>
      <c r="F194" s="7" t="s">
        <v>2533</v>
      </c>
      <c r="G194" s="3" t="s">
        <v>55</v>
      </c>
      <c r="H194" s="3"/>
      <c r="I194" s="3"/>
      <c r="J194" s="3"/>
      <c r="K194" s="3"/>
      <c r="L194" s="3"/>
      <c r="M194" s="3"/>
      <c r="N194" s="3"/>
      <c r="O194" s="3"/>
      <c r="P194" s="3"/>
      <c r="Q194" s="3"/>
    </row>
    <row r="195" spans="1:17" ht="60" customHeight="1" x14ac:dyDescent="0.25">
      <c r="A195" s="9">
        <f>IF(F195="","",ROW()-19-COUNTBLANK($F$20:F195))</f>
        <v>153</v>
      </c>
      <c r="B195" s="18"/>
      <c r="C195" s="18"/>
      <c r="D195" s="4" t="s">
        <v>2557</v>
      </c>
      <c r="E195" s="7" t="s">
        <v>3111</v>
      </c>
      <c r="F195" s="7" t="s">
        <v>2533</v>
      </c>
      <c r="G195" s="3" t="s">
        <v>55</v>
      </c>
      <c r="H195" s="3"/>
      <c r="I195" s="3"/>
      <c r="J195" s="3"/>
      <c r="K195" s="3"/>
      <c r="L195" s="3"/>
      <c r="M195" s="3"/>
      <c r="N195" s="3"/>
      <c r="O195" s="3"/>
      <c r="P195" s="3"/>
      <c r="Q195" s="3"/>
    </row>
    <row r="196" spans="1:17" ht="60" customHeight="1" x14ac:dyDescent="0.25">
      <c r="A196" s="9">
        <f>IF(F196="","",ROW()-19-COUNTBLANK($F$20:F196))</f>
        <v>154</v>
      </c>
      <c r="B196" s="18"/>
      <c r="C196" s="18"/>
      <c r="D196" s="4" t="s">
        <v>2559</v>
      </c>
      <c r="E196" s="7" t="s">
        <v>3112</v>
      </c>
      <c r="F196" s="7" t="s">
        <v>2533</v>
      </c>
      <c r="G196" s="3" t="s">
        <v>55</v>
      </c>
      <c r="H196" s="3"/>
      <c r="I196" s="3"/>
      <c r="J196" s="3"/>
      <c r="K196" s="3"/>
      <c r="L196" s="3"/>
      <c r="M196" s="3"/>
      <c r="N196" s="3"/>
      <c r="O196" s="3"/>
      <c r="P196" s="3"/>
      <c r="Q196" s="3"/>
    </row>
    <row r="197" spans="1:17" ht="60" customHeight="1" x14ac:dyDescent="0.25">
      <c r="A197" s="9">
        <f>IF(F197="","",ROW()-19-COUNTBLANK($F$20:F197))</f>
        <v>155</v>
      </c>
      <c r="B197" s="18"/>
      <c r="C197" s="18"/>
      <c r="D197" s="4" t="s">
        <v>2561</v>
      </c>
      <c r="E197" s="7" t="s">
        <v>3113</v>
      </c>
      <c r="F197" s="7" t="s">
        <v>2533</v>
      </c>
      <c r="G197" s="3" t="s">
        <v>55</v>
      </c>
      <c r="H197" s="3"/>
      <c r="I197" s="3"/>
      <c r="J197" s="3"/>
      <c r="K197" s="3"/>
      <c r="L197" s="3"/>
      <c r="M197" s="3"/>
      <c r="N197" s="3"/>
      <c r="O197" s="3"/>
      <c r="P197" s="3"/>
      <c r="Q197" s="3"/>
    </row>
    <row r="198" spans="1:17" ht="60" customHeight="1" x14ac:dyDescent="0.25">
      <c r="A198" s="9">
        <f>IF(F198="","",ROW()-19-COUNTBLANK($F$20:F198))</f>
        <v>156</v>
      </c>
      <c r="B198" s="18"/>
      <c r="C198" s="19"/>
      <c r="D198" s="4" t="s">
        <v>2563</v>
      </c>
      <c r="E198" s="7" t="s">
        <v>3114</v>
      </c>
      <c r="F198" s="7" t="s">
        <v>2533</v>
      </c>
      <c r="G198" s="3" t="s">
        <v>55</v>
      </c>
      <c r="H198" s="3"/>
      <c r="I198" s="3"/>
      <c r="J198" s="3"/>
      <c r="K198" s="3"/>
      <c r="L198" s="3"/>
      <c r="M198" s="3"/>
      <c r="N198" s="3"/>
      <c r="O198" s="3"/>
      <c r="P198" s="3"/>
      <c r="Q198" s="3"/>
    </row>
    <row r="199" spans="1:17" ht="60" customHeight="1" x14ac:dyDescent="0.25">
      <c r="A199" s="9">
        <f>IF(F199="","",ROW()-19-COUNTBLANK($F$20:F199))</f>
        <v>157</v>
      </c>
      <c r="B199" s="18"/>
      <c r="C199" s="17" t="s">
        <v>2565</v>
      </c>
      <c r="D199" s="4" t="s">
        <v>2566</v>
      </c>
      <c r="E199" s="7" t="s">
        <v>3115</v>
      </c>
      <c r="F199" s="7" t="s">
        <v>2568</v>
      </c>
      <c r="G199" s="3" t="s">
        <v>50</v>
      </c>
      <c r="H199" s="3"/>
      <c r="I199" s="3"/>
      <c r="J199" s="3"/>
      <c r="K199" s="3"/>
      <c r="L199" s="3"/>
      <c r="M199" s="3"/>
      <c r="N199" s="3"/>
      <c r="O199" s="3"/>
      <c r="P199" s="3"/>
      <c r="Q199" s="3"/>
    </row>
    <row r="200" spans="1:17" ht="60" customHeight="1" x14ac:dyDescent="0.25">
      <c r="A200" s="9">
        <f>IF(F200="","",ROW()-19-COUNTBLANK($F$20:F200))</f>
        <v>158</v>
      </c>
      <c r="B200" s="18"/>
      <c r="C200" s="18"/>
      <c r="D200" s="4" t="s">
        <v>2569</v>
      </c>
      <c r="E200" s="7" t="s">
        <v>3116</v>
      </c>
      <c r="F200" s="7" t="s">
        <v>2571</v>
      </c>
      <c r="G200" s="3" t="s">
        <v>50</v>
      </c>
      <c r="H200" s="3"/>
      <c r="I200" s="3"/>
      <c r="J200" s="3"/>
      <c r="K200" s="3"/>
      <c r="L200" s="3"/>
      <c r="M200" s="3"/>
      <c r="N200" s="3"/>
      <c r="O200" s="3"/>
      <c r="P200" s="3"/>
      <c r="Q200" s="3"/>
    </row>
    <row r="201" spans="1:17" ht="60" customHeight="1" x14ac:dyDescent="0.25">
      <c r="A201" s="9">
        <f>IF(F201="","",ROW()-19-COUNTBLANK($F$20:F201))</f>
        <v>159</v>
      </c>
      <c r="B201" s="18"/>
      <c r="C201" s="18"/>
      <c r="D201" s="4" t="s">
        <v>2572</v>
      </c>
      <c r="E201" s="7" t="s">
        <v>3117</v>
      </c>
      <c r="F201" s="7" t="s">
        <v>2574</v>
      </c>
      <c r="G201" s="3" t="s">
        <v>55</v>
      </c>
      <c r="H201" s="3"/>
      <c r="I201" s="3"/>
      <c r="J201" s="3"/>
      <c r="K201" s="3"/>
      <c r="L201" s="3"/>
      <c r="M201" s="3"/>
      <c r="N201" s="3"/>
      <c r="O201" s="3"/>
      <c r="P201" s="3"/>
      <c r="Q201" s="3"/>
    </row>
    <row r="202" spans="1:17" ht="60" customHeight="1" x14ac:dyDescent="0.25">
      <c r="A202" s="9">
        <f>IF(F202="","",ROW()-19-COUNTBLANK($F$20:F202))</f>
        <v>160</v>
      </c>
      <c r="B202" s="19"/>
      <c r="C202" s="19"/>
      <c r="D202" s="4" t="s">
        <v>2575</v>
      </c>
      <c r="E202" s="7" t="s">
        <v>3118</v>
      </c>
      <c r="F202" s="7" t="s">
        <v>2577</v>
      </c>
      <c r="G202" s="3" t="s">
        <v>50</v>
      </c>
      <c r="H202" s="3"/>
      <c r="I202" s="3"/>
      <c r="J202" s="3"/>
      <c r="K202" s="3"/>
      <c r="L202" s="3"/>
      <c r="M202" s="3"/>
      <c r="N202" s="3"/>
      <c r="O202" s="3"/>
      <c r="P202" s="3"/>
      <c r="Q202" s="3"/>
    </row>
    <row r="203" spans="1:17" ht="60" customHeight="1" x14ac:dyDescent="0.25">
      <c r="A203" s="9">
        <f>IF(F203="","",ROW()-19-COUNTBLANK($F$20:F203))</f>
        <v>161</v>
      </c>
      <c r="B203" s="17" t="s">
        <v>186</v>
      </c>
      <c r="C203" s="17" t="s">
        <v>198</v>
      </c>
      <c r="D203" s="4" t="s">
        <v>2531</v>
      </c>
      <c r="E203" s="7" t="s">
        <v>3119</v>
      </c>
      <c r="F203" s="7" t="s">
        <v>2533</v>
      </c>
      <c r="G203" s="3" t="s">
        <v>50</v>
      </c>
      <c r="H203" s="3"/>
      <c r="I203" s="3"/>
      <c r="J203" s="3"/>
      <c r="K203" s="3"/>
      <c r="L203" s="3"/>
      <c r="M203" s="3"/>
      <c r="N203" s="3"/>
      <c r="O203" s="3"/>
      <c r="P203" s="3"/>
      <c r="Q203" s="3"/>
    </row>
    <row r="204" spans="1:17" ht="60" customHeight="1" x14ac:dyDescent="0.25">
      <c r="A204" s="9">
        <f>IF(F204="","",ROW()-19-COUNTBLANK($F$20:F204))</f>
        <v>162</v>
      </c>
      <c r="B204" s="18"/>
      <c r="C204" s="18"/>
      <c r="D204" s="4" t="s">
        <v>2534</v>
      </c>
      <c r="E204" s="7" t="s">
        <v>3120</v>
      </c>
      <c r="F204" s="7" t="s">
        <v>2580</v>
      </c>
      <c r="G204" s="3" t="s">
        <v>50</v>
      </c>
      <c r="H204" s="3"/>
      <c r="I204" s="3"/>
      <c r="J204" s="3"/>
      <c r="K204" s="3"/>
      <c r="L204" s="3"/>
      <c r="M204" s="3"/>
      <c r="N204" s="3"/>
      <c r="O204" s="3"/>
      <c r="P204" s="3"/>
      <c r="Q204" s="3"/>
    </row>
    <row r="205" spans="1:17" ht="60" customHeight="1" x14ac:dyDescent="0.25">
      <c r="A205" s="9">
        <f>IF(F205="","",ROW()-19-COUNTBLANK($F$20:F205))</f>
        <v>163</v>
      </c>
      <c r="B205" s="18"/>
      <c r="C205" s="19"/>
      <c r="D205" s="4" t="s">
        <v>2537</v>
      </c>
      <c r="E205" s="7" t="s">
        <v>3121</v>
      </c>
      <c r="F205" s="7" t="s">
        <v>2582</v>
      </c>
      <c r="G205" s="3" t="s">
        <v>50</v>
      </c>
      <c r="H205" s="3"/>
      <c r="I205" s="3"/>
      <c r="J205" s="3"/>
      <c r="K205" s="3"/>
      <c r="L205" s="3"/>
      <c r="M205" s="3"/>
      <c r="N205" s="3"/>
      <c r="O205" s="3"/>
      <c r="P205" s="3"/>
      <c r="Q205" s="3"/>
    </row>
    <row r="206" spans="1:17" ht="60" customHeight="1" x14ac:dyDescent="0.25">
      <c r="A206" s="9">
        <f>IF(F206="","",ROW()-19-COUNTBLANK($F$20:F206))</f>
        <v>164</v>
      </c>
      <c r="B206" s="18"/>
      <c r="C206" s="17" t="s">
        <v>187</v>
      </c>
      <c r="D206" s="4" t="s">
        <v>2583</v>
      </c>
      <c r="E206" s="7" t="s">
        <v>3122</v>
      </c>
      <c r="F206" s="7" t="s">
        <v>2585</v>
      </c>
      <c r="G206" s="3" t="s">
        <v>50</v>
      </c>
      <c r="H206" s="3"/>
      <c r="I206" s="3"/>
      <c r="J206" s="3"/>
      <c r="K206" s="3"/>
      <c r="L206" s="3"/>
      <c r="M206" s="3"/>
      <c r="N206" s="3"/>
      <c r="O206" s="3"/>
      <c r="P206" s="3"/>
      <c r="Q206" s="3"/>
    </row>
    <row r="207" spans="1:17" ht="60" customHeight="1" x14ac:dyDescent="0.25">
      <c r="A207" s="9">
        <f>IF(F207="","",ROW()-19-COUNTBLANK($F$20:F207))</f>
        <v>165</v>
      </c>
      <c r="B207" s="18"/>
      <c r="C207" s="18"/>
      <c r="D207" s="4" t="s">
        <v>2586</v>
      </c>
      <c r="E207" s="7" t="s">
        <v>3123</v>
      </c>
      <c r="F207" s="7" t="s">
        <v>2588</v>
      </c>
      <c r="G207" s="3" t="s">
        <v>55</v>
      </c>
      <c r="H207" s="3"/>
      <c r="I207" s="3"/>
      <c r="J207" s="3"/>
      <c r="K207" s="3"/>
      <c r="L207" s="3"/>
      <c r="M207" s="3"/>
      <c r="N207" s="3"/>
      <c r="O207" s="3"/>
      <c r="P207" s="3"/>
      <c r="Q207" s="3"/>
    </row>
    <row r="208" spans="1:17" ht="60" customHeight="1" x14ac:dyDescent="0.25">
      <c r="A208" s="9">
        <f>IF(F208="","",ROW()-19-COUNTBLANK($F$20:F208))</f>
        <v>166</v>
      </c>
      <c r="B208" s="18"/>
      <c r="C208" s="18"/>
      <c r="D208" s="4" t="s">
        <v>2589</v>
      </c>
      <c r="E208" s="7" t="s">
        <v>3124</v>
      </c>
      <c r="F208" s="7" t="s">
        <v>2591</v>
      </c>
      <c r="G208" s="3" t="s">
        <v>55</v>
      </c>
      <c r="H208" s="3"/>
      <c r="I208" s="3"/>
      <c r="J208" s="3"/>
      <c r="K208" s="3"/>
      <c r="L208" s="3"/>
      <c r="M208" s="3"/>
      <c r="N208" s="3"/>
      <c r="O208" s="3"/>
      <c r="P208" s="3"/>
      <c r="Q208" s="3"/>
    </row>
    <row r="209" spans="1:17" ht="60" customHeight="1" x14ac:dyDescent="0.25">
      <c r="A209" s="9">
        <f>IF(F209="","",ROW()-19-COUNTBLANK($F$20:F209))</f>
        <v>167</v>
      </c>
      <c r="B209" s="18"/>
      <c r="C209" s="19"/>
      <c r="D209" s="4" t="s">
        <v>2592</v>
      </c>
      <c r="E209" s="7" t="s">
        <v>3125</v>
      </c>
      <c r="F209" s="7" t="s">
        <v>2591</v>
      </c>
      <c r="G209" s="3" t="s">
        <v>55</v>
      </c>
      <c r="H209" s="3"/>
      <c r="I209" s="3"/>
      <c r="J209" s="3"/>
      <c r="K209" s="3"/>
      <c r="L209" s="3"/>
      <c r="M209" s="3"/>
      <c r="N209" s="3"/>
      <c r="O209" s="3"/>
      <c r="P209" s="3"/>
      <c r="Q209" s="3"/>
    </row>
    <row r="210" spans="1:17" ht="60" customHeight="1" x14ac:dyDescent="0.25">
      <c r="A210" s="9">
        <f>IF(F210="","",ROW()-19-COUNTBLANK($F$20:F210))</f>
        <v>168</v>
      </c>
      <c r="B210" s="18"/>
      <c r="C210" s="17" t="s">
        <v>2594</v>
      </c>
      <c r="D210" s="4" t="s">
        <v>2595</v>
      </c>
      <c r="E210" s="7" t="s">
        <v>3126</v>
      </c>
      <c r="F210" s="7" t="s">
        <v>2533</v>
      </c>
      <c r="G210" s="3" t="s">
        <v>55</v>
      </c>
      <c r="H210" s="3"/>
      <c r="I210" s="3"/>
      <c r="J210" s="3"/>
      <c r="K210" s="3"/>
      <c r="L210" s="3"/>
      <c r="M210" s="3"/>
      <c r="N210" s="3"/>
      <c r="O210" s="3"/>
      <c r="P210" s="3"/>
      <c r="Q210" s="3"/>
    </row>
    <row r="211" spans="1:17" ht="60" customHeight="1" x14ac:dyDescent="0.25">
      <c r="A211" s="9">
        <f>IF(F211="","",ROW()-19-COUNTBLANK($F$20:F211))</f>
        <v>169</v>
      </c>
      <c r="B211" s="18"/>
      <c r="C211" s="18"/>
      <c r="D211" s="4" t="s">
        <v>2597</v>
      </c>
      <c r="E211" s="7" t="s">
        <v>3127</v>
      </c>
      <c r="F211" s="7" t="s">
        <v>2533</v>
      </c>
      <c r="G211" s="3" t="s">
        <v>55</v>
      </c>
      <c r="H211" s="3"/>
      <c r="I211" s="3"/>
      <c r="J211" s="3"/>
      <c r="K211" s="3"/>
      <c r="L211" s="3"/>
      <c r="M211" s="3"/>
      <c r="N211" s="3"/>
      <c r="O211" s="3"/>
      <c r="P211" s="3"/>
      <c r="Q211" s="3"/>
    </row>
    <row r="212" spans="1:17" ht="60" customHeight="1" x14ac:dyDescent="0.25">
      <c r="A212" s="9">
        <f>IF(F212="","",ROW()-19-COUNTBLANK($F$20:F212))</f>
        <v>170</v>
      </c>
      <c r="B212" s="18"/>
      <c r="C212" s="18"/>
      <c r="D212" s="4" t="s">
        <v>2599</v>
      </c>
      <c r="E212" s="7" t="s">
        <v>3128</v>
      </c>
      <c r="F212" s="7" t="s">
        <v>2533</v>
      </c>
      <c r="G212" s="3" t="s">
        <v>55</v>
      </c>
      <c r="H212" s="3"/>
      <c r="I212" s="3"/>
      <c r="J212" s="3"/>
      <c r="K212" s="3"/>
      <c r="L212" s="3"/>
      <c r="M212" s="3"/>
      <c r="N212" s="3"/>
      <c r="O212" s="3"/>
      <c r="P212" s="3"/>
      <c r="Q212" s="3"/>
    </row>
    <row r="213" spans="1:17" ht="60" customHeight="1" x14ac:dyDescent="0.25">
      <c r="A213" s="9">
        <f>IF(F213="","",ROW()-19-COUNTBLANK($F$20:F213))</f>
        <v>171</v>
      </c>
      <c r="B213" s="18"/>
      <c r="C213" s="18"/>
      <c r="D213" s="4" t="s">
        <v>2601</v>
      </c>
      <c r="E213" s="7" t="s">
        <v>3129</v>
      </c>
      <c r="F213" s="7" t="s">
        <v>2533</v>
      </c>
      <c r="G213" s="3" t="s">
        <v>55</v>
      </c>
      <c r="H213" s="3"/>
      <c r="I213" s="3"/>
      <c r="J213" s="3"/>
      <c r="K213" s="3"/>
      <c r="L213" s="3"/>
      <c r="M213" s="3"/>
      <c r="N213" s="3"/>
      <c r="O213" s="3"/>
      <c r="P213" s="3"/>
      <c r="Q213" s="3"/>
    </row>
    <row r="214" spans="1:17" ht="60" customHeight="1" x14ac:dyDescent="0.25">
      <c r="A214" s="9">
        <f>IF(F214="","",ROW()-19-COUNTBLANK($F$20:F214))</f>
        <v>172</v>
      </c>
      <c r="B214" s="18"/>
      <c r="C214" s="18"/>
      <c r="D214" s="4" t="s">
        <v>2603</v>
      </c>
      <c r="E214" s="7" t="s">
        <v>3130</v>
      </c>
      <c r="F214" s="7" t="s">
        <v>2533</v>
      </c>
      <c r="G214" s="3" t="s">
        <v>55</v>
      </c>
      <c r="H214" s="3"/>
      <c r="I214" s="3"/>
      <c r="J214" s="3"/>
      <c r="K214" s="3"/>
      <c r="L214" s="3"/>
      <c r="M214" s="3"/>
      <c r="N214" s="3"/>
      <c r="O214" s="3"/>
      <c r="P214" s="3"/>
      <c r="Q214" s="3"/>
    </row>
    <row r="215" spans="1:17" ht="60" customHeight="1" x14ac:dyDescent="0.25">
      <c r="A215" s="9">
        <f>IF(F215="","",ROW()-19-COUNTBLANK($F$20:F215))</f>
        <v>173</v>
      </c>
      <c r="B215" s="18"/>
      <c r="C215" s="19"/>
      <c r="D215" s="4" t="s">
        <v>2605</v>
      </c>
      <c r="E215" s="7" t="s">
        <v>3131</v>
      </c>
      <c r="F215" s="7" t="s">
        <v>2533</v>
      </c>
      <c r="G215" s="3" t="s">
        <v>55</v>
      </c>
      <c r="H215" s="3"/>
      <c r="I215" s="3"/>
      <c r="J215" s="3"/>
      <c r="K215" s="3"/>
      <c r="L215" s="3"/>
      <c r="M215" s="3"/>
      <c r="N215" s="3"/>
      <c r="O215" s="3"/>
      <c r="P215" s="3"/>
      <c r="Q215" s="3"/>
    </row>
    <row r="216" spans="1:17" ht="60" customHeight="1" x14ac:dyDescent="0.25">
      <c r="A216" s="9">
        <f>IF(F216="","",ROW()-19-COUNTBLANK($F$20:F216))</f>
        <v>174</v>
      </c>
      <c r="B216" s="18"/>
      <c r="C216" s="17" t="s">
        <v>2607</v>
      </c>
      <c r="D216" s="4" t="s">
        <v>2566</v>
      </c>
      <c r="E216" s="7" t="s">
        <v>3132</v>
      </c>
      <c r="F216" s="7" t="s">
        <v>2609</v>
      </c>
      <c r="G216" s="3" t="s">
        <v>50</v>
      </c>
      <c r="H216" s="3"/>
      <c r="I216" s="3"/>
      <c r="J216" s="3"/>
      <c r="K216" s="3"/>
      <c r="L216" s="3"/>
      <c r="M216" s="3"/>
      <c r="N216" s="3"/>
      <c r="O216" s="3"/>
      <c r="P216" s="3"/>
      <c r="Q216" s="3"/>
    </row>
    <row r="217" spans="1:17" ht="60" customHeight="1" x14ac:dyDescent="0.25">
      <c r="A217" s="9">
        <f>IF(F217="","",ROW()-19-COUNTBLANK($F$20:F217))</f>
        <v>175</v>
      </c>
      <c r="B217" s="18"/>
      <c r="C217" s="18"/>
      <c r="D217" s="4" t="s">
        <v>2610</v>
      </c>
      <c r="E217" s="7" t="s">
        <v>3133</v>
      </c>
      <c r="F217" s="7" t="s">
        <v>2612</v>
      </c>
      <c r="G217" s="3" t="s">
        <v>50</v>
      </c>
      <c r="H217" s="3"/>
      <c r="I217" s="3"/>
      <c r="J217" s="3"/>
      <c r="K217" s="3"/>
      <c r="L217" s="3"/>
      <c r="M217" s="3"/>
      <c r="N217" s="3"/>
      <c r="O217" s="3"/>
      <c r="P217" s="3"/>
      <c r="Q217" s="3"/>
    </row>
    <row r="218" spans="1:17" ht="60" customHeight="1" x14ac:dyDescent="0.25">
      <c r="A218" s="9">
        <f>IF(F218="","",ROW()-19-COUNTBLANK($F$20:F218))</f>
        <v>176</v>
      </c>
      <c r="B218" s="18"/>
      <c r="C218" s="18"/>
      <c r="D218" s="4" t="s">
        <v>2613</v>
      </c>
      <c r="E218" s="7" t="s">
        <v>3134</v>
      </c>
      <c r="F218" s="7" t="s">
        <v>2615</v>
      </c>
      <c r="G218" s="3" t="s">
        <v>55</v>
      </c>
      <c r="H218" s="3"/>
      <c r="I218" s="3"/>
      <c r="J218" s="3"/>
      <c r="K218" s="3"/>
      <c r="L218" s="3"/>
      <c r="M218" s="3"/>
      <c r="N218" s="3"/>
      <c r="O218" s="3"/>
      <c r="P218" s="3"/>
      <c r="Q218" s="3"/>
    </row>
    <row r="219" spans="1:17" ht="60" customHeight="1" x14ac:dyDescent="0.25">
      <c r="A219" s="9">
        <f>IF(F219="","",ROW()-19-COUNTBLANK($F$20:F219))</f>
        <v>177</v>
      </c>
      <c r="B219" s="19"/>
      <c r="C219" s="19"/>
      <c r="D219" s="4" t="s">
        <v>2616</v>
      </c>
      <c r="E219" s="7" t="s">
        <v>3135</v>
      </c>
      <c r="F219" s="7" t="s">
        <v>2618</v>
      </c>
      <c r="G219" s="3" t="s">
        <v>50</v>
      </c>
      <c r="H219" s="3"/>
      <c r="I219" s="3"/>
      <c r="J219" s="3"/>
      <c r="K219" s="3"/>
      <c r="L219" s="3"/>
      <c r="M219" s="3"/>
      <c r="N219" s="3"/>
      <c r="O219" s="3"/>
      <c r="P219" s="3"/>
      <c r="Q219" s="3"/>
    </row>
    <row r="220" spans="1:17" ht="60" customHeight="1" x14ac:dyDescent="0.25">
      <c r="A220" s="9">
        <f>IF(F220="","",ROW()-19-COUNTBLANK($F$20:F220))</f>
        <v>178</v>
      </c>
      <c r="B220" s="4" t="s">
        <v>2619</v>
      </c>
      <c r="C220" s="4" t="s">
        <v>2620</v>
      </c>
      <c r="D220" s="4" t="s">
        <v>2621</v>
      </c>
      <c r="E220" s="7" t="s">
        <v>3136</v>
      </c>
      <c r="F220" s="7" t="s">
        <v>2623</v>
      </c>
      <c r="G220" s="3" t="s">
        <v>55</v>
      </c>
      <c r="H220" s="3"/>
      <c r="I220" s="3"/>
      <c r="J220" s="3"/>
      <c r="K220" s="3"/>
      <c r="L220" s="3"/>
      <c r="M220" s="3"/>
      <c r="N220" s="3"/>
      <c r="O220" s="3"/>
      <c r="P220" s="3"/>
      <c r="Q220" s="3"/>
    </row>
    <row r="221" spans="1:17" ht="60" customHeight="1" x14ac:dyDescent="0.25">
      <c r="A221" s="9">
        <f>IF(F221="","",ROW()-19-COUNTBLANK($F$20:F221))</f>
        <v>179</v>
      </c>
      <c r="B221" s="4" t="s">
        <v>2624</v>
      </c>
      <c r="C221" s="4" t="s">
        <v>2625</v>
      </c>
      <c r="D221" s="4" t="s">
        <v>2626</v>
      </c>
      <c r="E221" s="7" t="s">
        <v>3137</v>
      </c>
      <c r="F221" s="7" t="s">
        <v>2628</v>
      </c>
      <c r="G221" s="3" t="s">
        <v>55</v>
      </c>
      <c r="H221" s="3"/>
      <c r="I221" s="3"/>
      <c r="J221" s="3"/>
      <c r="K221" s="3"/>
      <c r="L221" s="3"/>
      <c r="M221" s="3"/>
      <c r="N221" s="3"/>
      <c r="O221" s="3"/>
      <c r="P221" s="3"/>
      <c r="Q221" s="3"/>
    </row>
    <row r="222" spans="1:17" ht="60" customHeight="1" x14ac:dyDescent="0.25">
      <c r="A222" s="9">
        <f>IF(F222="","",ROW()-19-COUNTBLANK($F$20:F222))</f>
        <v>180</v>
      </c>
      <c r="B222" s="4" t="s">
        <v>2629</v>
      </c>
      <c r="C222" s="4" t="s">
        <v>2630</v>
      </c>
      <c r="D222" s="4" t="s">
        <v>2631</v>
      </c>
      <c r="E222" s="7" t="s">
        <v>3138</v>
      </c>
      <c r="F222" s="7" t="s">
        <v>2633</v>
      </c>
      <c r="G222" s="3" t="s">
        <v>73</v>
      </c>
      <c r="H222" s="3"/>
      <c r="I222" s="3"/>
      <c r="J222" s="3"/>
      <c r="K222" s="3"/>
      <c r="L222" s="3"/>
      <c r="M222" s="3"/>
      <c r="N222" s="3"/>
      <c r="O222" s="3"/>
      <c r="P222" s="3"/>
      <c r="Q222" s="3"/>
    </row>
    <row r="223" spans="1:17" ht="20.100000000000001" customHeight="1" x14ac:dyDescent="0.25">
      <c r="A223" s="9" t="str">
        <f>IF(F223="","",ROW()-19-COUNTBLANK($F$20:F223))</f>
        <v/>
      </c>
      <c r="B223" s="12" t="s">
        <v>2715</v>
      </c>
      <c r="C223" s="12"/>
      <c r="D223" s="12"/>
      <c r="E223" s="12"/>
      <c r="F223" s="12"/>
      <c r="G223" s="12"/>
      <c r="H223" s="12"/>
      <c r="I223" s="12"/>
      <c r="J223" s="12"/>
      <c r="K223" s="12"/>
      <c r="L223" s="12"/>
      <c r="M223" s="12"/>
      <c r="N223" s="12"/>
      <c r="O223" s="12"/>
      <c r="P223" s="12"/>
      <c r="Q223" s="12"/>
    </row>
    <row r="224" spans="1:17" ht="60" customHeight="1" x14ac:dyDescent="0.25">
      <c r="A224" s="9">
        <f>IF(F224="","",ROW()-19-COUNTBLANK($F$20:F224))</f>
        <v>181</v>
      </c>
      <c r="B224" s="4" t="s">
        <v>2635</v>
      </c>
      <c r="C224" s="4" t="s">
        <v>2487</v>
      </c>
      <c r="D224" s="4"/>
      <c r="E224" s="7" t="s">
        <v>3139</v>
      </c>
      <c r="F224" s="7" t="s">
        <v>2717</v>
      </c>
      <c r="G224" s="3" t="s">
        <v>55</v>
      </c>
      <c r="H224" s="3"/>
      <c r="I224" s="3"/>
      <c r="J224" s="3"/>
      <c r="K224" s="3"/>
      <c r="L224" s="3"/>
      <c r="M224" s="3"/>
      <c r="N224" s="3"/>
      <c r="O224" s="3"/>
      <c r="P224" s="3"/>
      <c r="Q224" s="3"/>
    </row>
    <row r="225" spans="1:17" ht="60" customHeight="1" x14ac:dyDescent="0.25">
      <c r="A225" s="9">
        <f>IF(F225="","",ROW()-19-COUNTBLANK($F$20:F225))</f>
        <v>182</v>
      </c>
      <c r="B225" s="4" t="s">
        <v>2638</v>
      </c>
      <c r="C225" s="4" t="s">
        <v>2490</v>
      </c>
      <c r="D225" s="4"/>
      <c r="E225" s="7" t="s">
        <v>3140</v>
      </c>
      <c r="F225" s="7" t="s">
        <v>2640</v>
      </c>
      <c r="G225" s="3" t="s">
        <v>55</v>
      </c>
      <c r="H225" s="3"/>
      <c r="I225" s="3"/>
      <c r="J225" s="3"/>
      <c r="K225" s="3"/>
      <c r="L225" s="3"/>
      <c r="M225" s="3"/>
      <c r="N225" s="3"/>
      <c r="O225" s="3"/>
      <c r="P225" s="3"/>
      <c r="Q225" s="3"/>
    </row>
    <row r="226" spans="1:17" ht="60" customHeight="1" x14ac:dyDescent="0.25">
      <c r="A226" s="9">
        <f>IF(F226="","",ROW()-19-COUNTBLANK($F$20:F226))</f>
        <v>183</v>
      </c>
      <c r="B226" s="4" t="s">
        <v>2641</v>
      </c>
      <c r="C226" s="4" t="s">
        <v>2492</v>
      </c>
      <c r="D226" s="4" t="s">
        <v>2642</v>
      </c>
      <c r="E226" s="7" t="s">
        <v>3141</v>
      </c>
      <c r="F226" s="7" t="s">
        <v>2720</v>
      </c>
      <c r="G226" s="3" t="s">
        <v>50</v>
      </c>
      <c r="H226" s="3"/>
      <c r="I226" s="3"/>
      <c r="J226" s="3"/>
      <c r="K226" s="3"/>
      <c r="L226" s="3"/>
      <c r="M226" s="3"/>
      <c r="N226" s="3"/>
      <c r="O226" s="3"/>
      <c r="P226" s="3"/>
      <c r="Q226" s="3"/>
    </row>
    <row r="227" spans="1:17" ht="20.100000000000001" customHeight="1" x14ac:dyDescent="0.25">
      <c r="A227" s="9" t="str">
        <f>IF(F227="","",ROW()-19-COUNTBLANK($F$20:F227))</f>
        <v/>
      </c>
      <c r="B227" s="12" t="s">
        <v>2721</v>
      </c>
      <c r="C227" s="12"/>
      <c r="D227" s="12"/>
      <c r="E227" s="12"/>
      <c r="F227" s="12"/>
      <c r="G227" s="12"/>
      <c r="H227" s="12"/>
      <c r="I227" s="12"/>
      <c r="J227" s="12"/>
      <c r="K227" s="12"/>
      <c r="L227" s="12"/>
      <c r="M227" s="12"/>
      <c r="N227" s="12"/>
      <c r="O227" s="12"/>
      <c r="P227" s="12"/>
      <c r="Q227" s="12"/>
    </row>
    <row r="228" spans="1:17" ht="60" customHeight="1" x14ac:dyDescent="0.25">
      <c r="A228" s="9">
        <f>IF(F228="","",ROW()-19-COUNTBLANK($F$20:F228))</f>
        <v>184</v>
      </c>
      <c r="B228" s="4" t="s">
        <v>2646</v>
      </c>
      <c r="C228" s="4" t="s">
        <v>2478</v>
      </c>
      <c r="D228" s="4"/>
      <c r="E228" s="7" t="s">
        <v>3142</v>
      </c>
      <c r="F228" s="7" t="s">
        <v>2648</v>
      </c>
      <c r="G228" s="3" t="s">
        <v>55</v>
      </c>
      <c r="H228" s="3"/>
      <c r="I228" s="3"/>
      <c r="J228" s="3"/>
      <c r="K228" s="3"/>
      <c r="L228" s="3"/>
      <c r="M228" s="3"/>
      <c r="N228" s="3"/>
      <c r="O228" s="3"/>
      <c r="P228" s="3"/>
      <c r="Q228" s="3"/>
    </row>
    <row r="229" spans="1:17" ht="60" customHeight="1" x14ac:dyDescent="0.25">
      <c r="A229" s="9">
        <f>IF(F229="","",ROW()-19-COUNTBLANK($F$20:F229))</f>
        <v>185</v>
      </c>
      <c r="B229" s="4" t="s">
        <v>2649</v>
      </c>
      <c r="C229" s="4" t="s">
        <v>2481</v>
      </c>
      <c r="D229" s="4"/>
      <c r="E229" s="7" t="s">
        <v>3142</v>
      </c>
      <c r="F229" s="7" t="s">
        <v>2650</v>
      </c>
      <c r="G229" s="3" t="s">
        <v>55</v>
      </c>
      <c r="H229" s="3"/>
      <c r="I229" s="3"/>
      <c r="J229" s="3"/>
      <c r="K229" s="3"/>
      <c r="L229" s="3"/>
      <c r="M229" s="3"/>
      <c r="N229" s="3"/>
      <c r="O229" s="3"/>
      <c r="P229" s="3"/>
      <c r="Q229" s="3"/>
    </row>
    <row r="230" spans="1:17" ht="60" customHeight="1" x14ac:dyDescent="0.25">
      <c r="A230" s="9">
        <f>IF(F230="","",ROW()-19-COUNTBLANK($F$20:F230))</f>
        <v>186</v>
      </c>
      <c r="B230" s="4" t="s">
        <v>2651</v>
      </c>
      <c r="C230" s="4" t="s">
        <v>2483</v>
      </c>
      <c r="D230" s="4" t="s">
        <v>2652</v>
      </c>
      <c r="E230" s="7" t="s">
        <v>3143</v>
      </c>
      <c r="F230" s="7" t="s">
        <v>2654</v>
      </c>
      <c r="G230" s="3" t="s">
        <v>50</v>
      </c>
      <c r="H230" s="3"/>
      <c r="I230" s="3"/>
      <c r="J230" s="3"/>
      <c r="K230" s="3"/>
      <c r="L230" s="3"/>
      <c r="M230" s="3"/>
      <c r="N230" s="3"/>
      <c r="O230" s="3"/>
      <c r="P230" s="3"/>
      <c r="Q230" s="3"/>
    </row>
    <row r="231" spans="1:17" ht="20.100000000000001" customHeight="1" x14ac:dyDescent="0.25">
      <c r="A231" s="9" t="str">
        <f>IF(F231="","",ROW()-19-COUNTBLANK($F$20:F231))</f>
        <v/>
      </c>
      <c r="B231" s="12" t="s">
        <v>2724</v>
      </c>
      <c r="C231" s="12"/>
      <c r="D231" s="12"/>
      <c r="E231" s="12"/>
      <c r="F231" s="12"/>
      <c r="G231" s="12"/>
      <c r="H231" s="12"/>
      <c r="I231" s="12"/>
      <c r="J231" s="12"/>
      <c r="K231" s="12"/>
      <c r="L231" s="12"/>
      <c r="M231" s="12"/>
      <c r="N231" s="12"/>
      <c r="O231" s="12"/>
      <c r="P231" s="12"/>
      <c r="Q231" s="12"/>
    </row>
    <row r="232" spans="1:17" ht="60" customHeight="1" x14ac:dyDescent="0.25">
      <c r="A232" s="9">
        <f>IF(F232="","",ROW()-19-COUNTBLANK($F$20:F232))</f>
        <v>187</v>
      </c>
      <c r="B232" s="4" t="s">
        <v>311</v>
      </c>
      <c r="C232" s="4" t="s">
        <v>312</v>
      </c>
      <c r="D232" s="4"/>
      <c r="E232" s="7" t="s">
        <v>3144</v>
      </c>
      <c r="F232" s="7" t="s">
        <v>2657</v>
      </c>
      <c r="G232" s="3" t="s">
        <v>73</v>
      </c>
      <c r="H232" s="3"/>
      <c r="I232" s="3"/>
      <c r="J232" s="3"/>
      <c r="K232" s="3"/>
      <c r="L232" s="3"/>
      <c r="M232" s="3"/>
      <c r="N232" s="3"/>
      <c r="O232" s="3"/>
      <c r="P232" s="3"/>
      <c r="Q232" s="3"/>
    </row>
    <row r="233" spans="1:17" ht="60" customHeight="1" x14ac:dyDescent="0.25">
      <c r="A233" s="9">
        <f>IF(F233="","",ROW()-19-COUNTBLANK($F$20:F233))</f>
        <v>188</v>
      </c>
      <c r="B233" s="4" t="s">
        <v>315</v>
      </c>
      <c r="C233" s="4" t="s">
        <v>316</v>
      </c>
      <c r="D233" s="4" t="s">
        <v>2658</v>
      </c>
      <c r="E233" s="7" t="s">
        <v>3145</v>
      </c>
      <c r="F233" s="7" t="s">
        <v>2660</v>
      </c>
      <c r="G233" s="3" t="s">
        <v>55</v>
      </c>
      <c r="H233" s="3"/>
      <c r="I233" s="3"/>
      <c r="J233" s="3"/>
      <c r="K233" s="3"/>
      <c r="L233" s="3"/>
      <c r="M233" s="3"/>
      <c r="N233" s="3"/>
      <c r="O233" s="3"/>
      <c r="P233" s="3"/>
      <c r="Q233" s="3"/>
    </row>
    <row r="234" spans="1:17" ht="20.100000000000001" customHeight="1" x14ac:dyDescent="0.25">
      <c r="A234" s="11"/>
      <c r="B234" s="22" t="s">
        <v>1247</v>
      </c>
      <c r="C234" s="23"/>
      <c r="D234" s="23"/>
      <c r="E234" s="23"/>
      <c r="F234" s="24"/>
      <c r="G234" s="11"/>
      <c r="H234" s="11"/>
      <c r="I234" s="11"/>
      <c r="J234" s="11"/>
      <c r="K234" s="11"/>
      <c r="L234" s="11"/>
      <c r="M234" s="11"/>
      <c r="N234" s="11"/>
      <c r="O234" s="11"/>
      <c r="P234" s="11"/>
      <c r="Q234" s="11"/>
    </row>
    <row r="235" spans="1:17" ht="20.100000000000001" customHeight="1" x14ac:dyDescent="0.25">
      <c r="A235" s="9" t="str">
        <f>IF(F235="","",ROW()-19-COUNTBLANK($F$20:F235))</f>
        <v/>
      </c>
      <c r="B235" s="12" t="s">
        <v>2727</v>
      </c>
      <c r="C235" s="12"/>
      <c r="D235" s="12"/>
      <c r="E235" s="12"/>
      <c r="F235" s="12"/>
      <c r="G235" s="12"/>
      <c r="H235" s="12"/>
      <c r="I235" s="12"/>
      <c r="J235" s="12"/>
      <c r="K235" s="12"/>
      <c r="L235" s="12"/>
      <c r="M235" s="12"/>
      <c r="N235" s="12"/>
      <c r="O235" s="12"/>
      <c r="P235" s="12"/>
      <c r="Q235" s="12"/>
    </row>
    <row r="236" spans="1:17" ht="60" customHeight="1" x14ac:dyDescent="0.25">
      <c r="A236" s="9">
        <f>IF(F236="","",ROW()-19-COUNTBLANK($F$20:F236))</f>
        <v>189</v>
      </c>
      <c r="B236" s="4" t="s">
        <v>2728</v>
      </c>
      <c r="C236" s="4" t="s">
        <v>2729</v>
      </c>
      <c r="D236" s="4" t="s">
        <v>3146</v>
      </c>
      <c r="E236" s="7" t="s">
        <v>2731</v>
      </c>
      <c r="F236" s="7" t="s">
        <v>3147</v>
      </c>
      <c r="G236" s="3" t="s">
        <v>50</v>
      </c>
      <c r="H236" s="3"/>
      <c r="I236" s="3"/>
      <c r="J236" s="3"/>
      <c r="K236" s="3"/>
      <c r="L236" s="3"/>
      <c r="M236" s="3"/>
      <c r="N236" s="3"/>
      <c r="O236" s="3"/>
      <c r="P236" s="3"/>
      <c r="Q236" s="3"/>
    </row>
    <row r="237" spans="1:17" ht="60" customHeight="1" x14ac:dyDescent="0.25">
      <c r="A237" s="9">
        <f>IF(F237="","",ROW()-19-COUNTBLANK($F$20:F237))</f>
        <v>190</v>
      </c>
      <c r="B237" s="4" t="s">
        <v>2733</v>
      </c>
      <c r="C237" s="4" t="s">
        <v>2734</v>
      </c>
      <c r="D237" s="4"/>
      <c r="E237" s="7" t="s">
        <v>2735</v>
      </c>
      <c r="F237" s="7" t="s">
        <v>1505</v>
      </c>
      <c r="G237" s="3" t="s">
        <v>50</v>
      </c>
      <c r="H237" s="3"/>
      <c r="I237" s="3"/>
      <c r="J237" s="3"/>
      <c r="K237" s="3"/>
      <c r="L237" s="3"/>
      <c r="M237" s="3"/>
      <c r="N237" s="3"/>
      <c r="O237" s="3"/>
      <c r="P237" s="3"/>
      <c r="Q237" s="3"/>
    </row>
    <row r="238" spans="1:17" ht="60" customHeight="1" x14ac:dyDescent="0.25">
      <c r="A238" s="9">
        <f>IF(F238="","",ROW()-19-COUNTBLANK($F$20:F238))</f>
        <v>191</v>
      </c>
      <c r="B238" s="4" t="s">
        <v>2737</v>
      </c>
      <c r="C238" s="4" t="s">
        <v>2738</v>
      </c>
      <c r="D238" s="4"/>
      <c r="E238" s="7" t="s">
        <v>3148</v>
      </c>
      <c r="F238" s="7" t="s">
        <v>3149</v>
      </c>
      <c r="G238" s="3" t="s">
        <v>50</v>
      </c>
      <c r="H238" s="3"/>
      <c r="I238" s="3"/>
      <c r="J238" s="3"/>
      <c r="K238" s="3"/>
      <c r="L238" s="3"/>
      <c r="M238" s="3"/>
      <c r="N238" s="3"/>
      <c r="O238" s="3"/>
      <c r="P238" s="3"/>
      <c r="Q238" s="3"/>
    </row>
    <row r="239" spans="1:17" ht="60" customHeight="1" x14ac:dyDescent="0.25">
      <c r="A239" s="9">
        <f>IF(F239="","",ROW()-19-COUNTBLANK($F$20:F239))</f>
        <v>192</v>
      </c>
      <c r="B239" s="4" t="s">
        <v>2741</v>
      </c>
      <c r="C239" s="4" t="s">
        <v>2742</v>
      </c>
      <c r="D239" s="4"/>
      <c r="E239" s="7" t="s">
        <v>3150</v>
      </c>
      <c r="F239" s="7" t="s">
        <v>3151</v>
      </c>
      <c r="G239" s="3" t="s">
        <v>50</v>
      </c>
      <c r="H239" s="3"/>
      <c r="I239" s="3"/>
      <c r="J239" s="3"/>
      <c r="K239" s="3"/>
      <c r="L239" s="3"/>
      <c r="M239" s="3"/>
      <c r="N239" s="3"/>
      <c r="O239" s="3"/>
      <c r="P239" s="3"/>
      <c r="Q239" s="3"/>
    </row>
    <row r="240" spans="1:17" ht="60" customHeight="1" x14ac:dyDescent="0.25">
      <c r="A240" s="9">
        <f>IF(F240="","",ROW()-19-COUNTBLANK($F$20:F240))</f>
        <v>193</v>
      </c>
      <c r="B240" s="17" t="s">
        <v>2745</v>
      </c>
      <c r="C240" s="4" t="s">
        <v>2746</v>
      </c>
      <c r="D240" s="4" t="s">
        <v>2747</v>
      </c>
      <c r="E240" s="7" t="s">
        <v>3152</v>
      </c>
      <c r="F240" s="7" t="s">
        <v>2749</v>
      </c>
      <c r="G240" s="3" t="s">
        <v>50</v>
      </c>
      <c r="H240" s="3"/>
      <c r="I240" s="3"/>
      <c r="J240" s="3"/>
      <c r="K240" s="3"/>
      <c r="L240" s="3"/>
      <c r="M240" s="3"/>
      <c r="N240" s="3"/>
      <c r="O240" s="3"/>
      <c r="P240" s="3"/>
      <c r="Q240" s="3"/>
    </row>
    <row r="241" spans="1:17" ht="60" customHeight="1" x14ac:dyDescent="0.25">
      <c r="A241" s="9">
        <f>IF(F241="","",ROW()-19-COUNTBLANK($F$20:F241))</f>
        <v>194</v>
      </c>
      <c r="B241" s="18"/>
      <c r="C241" s="4" t="s">
        <v>2750</v>
      </c>
      <c r="D241" s="4" t="s">
        <v>2751</v>
      </c>
      <c r="E241" s="7" t="s">
        <v>3152</v>
      </c>
      <c r="F241" s="7" t="s">
        <v>2752</v>
      </c>
      <c r="G241" s="3" t="s">
        <v>50</v>
      </c>
      <c r="H241" s="3"/>
      <c r="I241" s="3"/>
      <c r="J241" s="3"/>
      <c r="K241" s="3"/>
      <c r="L241" s="3"/>
      <c r="M241" s="3"/>
      <c r="N241" s="3"/>
      <c r="O241" s="3"/>
      <c r="P241" s="3"/>
      <c r="Q241" s="3"/>
    </row>
    <row r="242" spans="1:17" ht="60" customHeight="1" x14ac:dyDescent="0.25">
      <c r="A242" s="9">
        <f>IF(F242="","",ROW()-19-COUNTBLANK($F$20:F242))</f>
        <v>195</v>
      </c>
      <c r="B242" s="18"/>
      <c r="C242" s="4" t="s">
        <v>2753</v>
      </c>
      <c r="D242" s="4" t="s">
        <v>2754</v>
      </c>
      <c r="E242" s="7" t="s">
        <v>3152</v>
      </c>
      <c r="F242" s="7" t="s">
        <v>2755</v>
      </c>
      <c r="G242" s="3" t="s">
        <v>50</v>
      </c>
      <c r="H242" s="3"/>
      <c r="I242" s="3"/>
      <c r="J242" s="3"/>
      <c r="K242" s="3"/>
      <c r="L242" s="3"/>
      <c r="M242" s="3"/>
      <c r="N242" s="3"/>
      <c r="O242" s="3"/>
      <c r="P242" s="3"/>
      <c r="Q242" s="3"/>
    </row>
    <row r="243" spans="1:17" ht="60" customHeight="1" x14ac:dyDescent="0.25">
      <c r="A243" s="9">
        <f>IF(F243="","",ROW()-19-COUNTBLANK($F$20:F243))</f>
        <v>196</v>
      </c>
      <c r="B243" s="18"/>
      <c r="C243" s="4" t="s">
        <v>2756</v>
      </c>
      <c r="D243" s="4" t="s">
        <v>2757</v>
      </c>
      <c r="E243" s="7" t="s">
        <v>3152</v>
      </c>
      <c r="F243" s="7" t="s">
        <v>2758</v>
      </c>
      <c r="G243" s="3" t="s">
        <v>55</v>
      </c>
      <c r="H243" s="3"/>
      <c r="I243" s="3"/>
      <c r="J243" s="3"/>
      <c r="K243" s="3"/>
      <c r="L243" s="3"/>
      <c r="M243" s="3"/>
      <c r="N243" s="3"/>
      <c r="O243" s="3"/>
      <c r="P243" s="3"/>
      <c r="Q243" s="3"/>
    </row>
    <row r="244" spans="1:17" ht="60" customHeight="1" x14ac:dyDescent="0.25">
      <c r="A244" s="9">
        <f>IF(F244="","",ROW()-19-COUNTBLANK($F$20:F244))</f>
        <v>197</v>
      </c>
      <c r="B244" s="18"/>
      <c r="C244" s="4" t="s">
        <v>2759</v>
      </c>
      <c r="D244" s="4" t="s">
        <v>2760</v>
      </c>
      <c r="E244" s="7" t="s">
        <v>2998</v>
      </c>
      <c r="F244" s="7" t="s">
        <v>2761</v>
      </c>
      <c r="G244" s="3" t="s">
        <v>50</v>
      </c>
      <c r="H244" s="3"/>
      <c r="I244" s="3"/>
      <c r="J244" s="3"/>
      <c r="K244" s="3"/>
      <c r="L244" s="3"/>
      <c r="M244" s="3"/>
      <c r="N244" s="3"/>
      <c r="O244" s="3"/>
      <c r="P244" s="3"/>
      <c r="Q244" s="3"/>
    </row>
    <row r="245" spans="1:17" ht="60" customHeight="1" x14ac:dyDescent="0.25">
      <c r="A245" s="9">
        <f>IF(F245="","",ROW()-19-COUNTBLANK($F$20:F245))</f>
        <v>198</v>
      </c>
      <c r="B245" s="19"/>
      <c r="C245" s="4" t="s">
        <v>2762</v>
      </c>
      <c r="D245" s="4" t="s">
        <v>2763</v>
      </c>
      <c r="E245" s="7" t="s">
        <v>3152</v>
      </c>
      <c r="F245" s="7" t="s">
        <v>2764</v>
      </c>
      <c r="G245" s="3" t="s">
        <v>50</v>
      </c>
      <c r="H245" s="3"/>
      <c r="I245" s="3"/>
      <c r="J245" s="3"/>
      <c r="K245" s="3"/>
      <c r="L245" s="3"/>
      <c r="M245" s="3"/>
      <c r="N245" s="3"/>
      <c r="O245" s="3"/>
      <c r="P245" s="3"/>
      <c r="Q245" s="3"/>
    </row>
    <row r="246" spans="1:17" ht="60" customHeight="1" x14ac:dyDescent="0.25">
      <c r="A246" s="9">
        <f>IF(F246="","",ROW()-19-COUNTBLANK($F$20:F246))</f>
        <v>199</v>
      </c>
      <c r="B246" s="4" t="s">
        <v>2765</v>
      </c>
      <c r="C246" s="4" t="s">
        <v>2766</v>
      </c>
      <c r="D246" s="4" t="s">
        <v>2767</v>
      </c>
      <c r="E246" s="7" t="s">
        <v>3153</v>
      </c>
      <c r="F246" s="7" t="s">
        <v>2769</v>
      </c>
      <c r="G246" s="3" t="s">
        <v>50</v>
      </c>
      <c r="H246" s="3"/>
      <c r="I246" s="3"/>
      <c r="J246" s="3"/>
      <c r="K246" s="3"/>
      <c r="L246" s="3"/>
      <c r="M246" s="3"/>
      <c r="N246" s="3"/>
      <c r="O246" s="3"/>
      <c r="P246" s="3"/>
      <c r="Q246" s="3"/>
    </row>
    <row r="247" spans="1:17" ht="60" customHeight="1" x14ac:dyDescent="0.25">
      <c r="A247" s="9">
        <f>IF(F247="","",ROW()-19-COUNTBLANK($F$20:F247))</f>
        <v>200</v>
      </c>
      <c r="B247" s="4" t="s">
        <v>2770</v>
      </c>
      <c r="C247" s="4" t="s">
        <v>2771</v>
      </c>
      <c r="D247" s="4" t="s">
        <v>2772</v>
      </c>
      <c r="E247" s="7" t="s">
        <v>2998</v>
      </c>
      <c r="F247" s="7" t="s">
        <v>2773</v>
      </c>
      <c r="G247" s="3" t="s">
        <v>50</v>
      </c>
      <c r="H247" s="3"/>
      <c r="I247" s="3"/>
      <c r="J247" s="3"/>
      <c r="K247" s="3"/>
      <c r="L247" s="3"/>
      <c r="M247" s="3"/>
      <c r="N247" s="3"/>
      <c r="O247" s="3"/>
      <c r="P247" s="3"/>
      <c r="Q247" s="3"/>
    </row>
    <row r="248" spans="1:17" ht="60" customHeight="1" x14ac:dyDescent="0.25">
      <c r="A248" s="9">
        <f>IF(F248="","",ROW()-19-COUNTBLANK($F$20:F248))</f>
        <v>201</v>
      </c>
      <c r="B248" s="4" t="s">
        <v>2774</v>
      </c>
      <c r="C248" s="4" t="s">
        <v>2775</v>
      </c>
      <c r="D248" s="4" t="s">
        <v>2776</v>
      </c>
      <c r="E248" s="7" t="s">
        <v>2998</v>
      </c>
      <c r="F248" s="7" t="s">
        <v>2777</v>
      </c>
      <c r="G248" s="3" t="s">
        <v>50</v>
      </c>
      <c r="H248" s="3"/>
      <c r="I248" s="3"/>
      <c r="J248" s="3"/>
      <c r="K248" s="3"/>
      <c r="L248" s="3"/>
      <c r="M248" s="3"/>
      <c r="N248" s="3"/>
      <c r="O248" s="3"/>
      <c r="P248" s="3"/>
      <c r="Q248" s="3"/>
    </row>
    <row r="249" spans="1:17" ht="60" customHeight="1" x14ac:dyDescent="0.25">
      <c r="A249" s="9">
        <f>IF(F249="","",ROW()-19-COUNTBLANK($F$20:F249))</f>
        <v>202</v>
      </c>
      <c r="B249" s="4" t="s">
        <v>2778</v>
      </c>
      <c r="C249" s="4" t="s">
        <v>2779</v>
      </c>
      <c r="D249" s="4" t="s">
        <v>2780</v>
      </c>
      <c r="E249" s="7" t="s">
        <v>2998</v>
      </c>
      <c r="F249" s="7" t="s">
        <v>2781</v>
      </c>
      <c r="G249" s="3" t="s">
        <v>50</v>
      </c>
      <c r="H249" s="3"/>
      <c r="I249" s="3"/>
      <c r="J249" s="3"/>
      <c r="K249" s="3"/>
      <c r="L249" s="3"/>
      <c r="M249" s="3"/>
      <c r="N249" s="3"/>
      <c r="O249" s="3"/>
      <c r="P249" s="3"/>
      <c r="Q249" s="3"/>
    </row>
    <row r="250" spans="1:17" ht="60" customHeight="1" x14ac:dyDescent="0.25">
      <c r="A250" s="9">
        <f>IF(F250="","",ROW()-19-COUNTBLANK($F$20:F250))</f>
        <v>203</v>
      </c>
      <c r="B250" s="4" t="s">
        <v>2782</v>
      </c>
      <c r="C250" s="4" t="s">
        <v>2783</v>
      </c>
      <c r="D250" s="4" t="s">
        <v>2784</v>
      </c>
      <c r="E250" s="7" t="s">
        <v>2998</v>
      </c>
      <c r="F250" s="7" t="s">
        <v>2785</v>
      </c>
      <c r="G250" s="3" t="s">
        <v>50</v>
      </c>
      <c r="H250" s="3"/>
      <c r="I250" s="3"/>
      <c r="J250" s="3"/>
      <c r="K250" s="3"/>
      <c r="L250" s="3"/>
      <c r="M250" s="3"/>
      <c r="N250" s="3"/>
      <c r="O250" s="3"/>
      <c r="P250" s="3"/>
      <c r="Q250" s="3"/>
    </row>
    <row r="251" spans="1:17" ht="60" customHeight="1" x14ac:dyDescent="0.25">
      <c r="A251" s="9">
        <f>IF(F251="","",ROW()-19-COUNTBLANK($F$20:F251))</f>
        <v>204</v>
      </c>
      <c r="B251" s="4" t="s">
        <v>1812</v>
      </c>
      <c r="C251" s="4" t="s">
        <v>2786</v>
      </c>
      <c r="D251" s="4" t="s">
        <v>1862</v>
      </c>
      <c r="E251" s="7" t="s">
        <v>3154</v>
      </c>
      <c r="F251" s="7" t="s">
        <v>2788</v>
      </c>
      <c r="G251" s="3" t="s">
        <v>55</v>
      </c>
      <c r="H251" s="3"/>
      <c r="I251" s="3"/>
      <c r="J251" s="3"/>
      <c r="K251" s="3"/>
      <c r="L251" s="3"/>
      <c r="M251" s="3"/>
      <c r="N251" s="3"/>
      <c r="O251" s="3"/>
      <c r="P251" s="3"/>
      <c r="Q251" s="3"/>
    </row>
    <row r="252" spans="1:17" ht="60" customHeight="1" x14ac:dyDescent="0.25">
      <c r="A252" s="9">
        <f>IF(F252="","",ROW()-19-COUNTBLANK($F$20:F252))</f>
        <v>205</v>
      </c>
      <c r="B252" s="17" t="s">
        <v>2789</v>
      </c>
      <c r="C252" s="4" t="s">
        <v>2586</v>
      </c>
      <c r="D252" s="4" t="s">
        <v>2790</v>
      </c>
      <c r="E252" s="7" t="s">
        <v>2998</v>
      </c>
      <c r="F252" s="7" t="s">
        <v>2791</v>
      </c>
      <c r="G252" s="3" t="s">
        <v>50</v>
      </c>
      <c r="H252" s="3"/>
      <c r="I252" s="3"/>
      <c r="J252" s="3"/>
      <c r="K252" s="3"/>
      <c r="L252" s="3"/>
      <c r="M252" s="3"/>
      <c r="N252" s="3"/>
      <c r="O252" s="3"/>
      <c r="P252" s="3"/>
      <c r="Q252" s="3"/>
    </row>
    <row r="253" spans="1:17" ht="60" customHeight="1" x14ac:dyDescent="0.25">
      <c r="A253" s="9">
        <f>IF(F253="","",ROW()-19-COUNTBLANK($F$20:F253))</f>
        <v>206</v>
      </c>
      <c r="B253" s="18"/>
      <c r="C253" s="4" t="s">
        <v>2792</v>
      </c>
      <c r="D253" s="4" t="s">
        <v>2793</v>
      </c>
      <c r="E253" s="7" t="s">
        <v>2998</v>
      </c>
      <c r="F253" s="7" t="s">
        <v>2791</v>
      </c>
      <c r="G253" s="3" t="s">
        <v>50</v>
      </c>
      <c r="H253" s="3"/>
      <c r="I253" s="3"/>
      <c r="J253" s="3"/>
      <c r="K253" s="3"/>
      <c r="L253" s="3"/>
      <c r="M253" s="3"/>
      <c r="N253" s="3"/>
      <c r="O253" s="3"/>
      <c r="P253" s="3"/>
      <c r="Q253" s="3"/>
    </row>
    <row r="254" spans="1:17" ht="60" customHeight="1" x14ac:dyDescent="0.25">
      <c r="A254" s="9">
        <f>IF(F254="","",ROW()-19-COUNTBLANK($F$20:F254))</f>
        <v>207</v>
      </c>
      <c r="B254" s="18"/>
      <c r="C254" s="4" t="s">
        <v>2794</v>
      </c>
      <c r="D254" s="4" t="s">
        <v>2795</v>
      </c>
      <c r="E254" s="7" t="s">
        <v>2998</v>
      </c>
      <c r="F254" s="7" t="s">
        <v>2796</v>
      </c>
      <c r="G254" s="3" t="s">
        <v>55</v>
      </c>
      <c r="H254" s="3"/>
      <c r="I254" s="3"/>
      <c r="J254" s="3"/>
      <c r="K254" s="3"/>
      <c r="L254" s="3"/>
      <c r="M254" s="3"/>
      <c r="N254" s="3"/>
      <c r="O254" s="3"/>
      <c r="P254" s="3"/>
      <c r="Q254" s="3"/>
    </row>
    <row r="255" spans="1:17" ht="60" customHeight="1" x14ac:dyDescent="0.25">
      <c r="A255" s="9">
        <f>IF(F255="","",ROW()-19-COUNTBLANK($F$20:F255))</f>
        <v>208</v>
      </c>
      <c r="B255" s="19"/>
      <c r="C255" s="4" t="s">
        <v>2797</v>
      </c>
      <c r="D255" s="4" t="s">
        <v>2798</v>
      </c>
      <c r="E255" s="7" t="s">
        <v>2998</v>
      </c>
      <c r="F255" s="7" t="s">
        <v>2799</v>
      </c>
      <c r="G255" s="3" t="s">
        <v>50</v>
      </c>
      <c r="H255" s="3"/>
      <c r="I255" s="3"/>
      <c r="J255" s="3"/>
      <c r="K255" s="3"/>
      <c r="L255" s="3"/>
      <c r="M255" s="3"/>
      <c r="N255" s="3"/>
      <c r="O255" s="3"/>
      <c r="P255" s="3"/>
      <c r="Q255" s="3"/>
    </row>
    <row r="256" spans="1:17" ht="60" customHeight="1" x14ac:dyDescent="0.25">
      <c r="A256" s="9">
        <f>IF(F256="","",ROW()-19-COUNTBLANK($F$20:F256))</f>
        <v>209</v>
      </c>
      <c r="B256" s="17" t="s">
        <v>2800</v>
      </c>
      <c r="C256" s="4" t="s">
        <v>2801</v>
      </c>
      <c r="D256" s="4" t="s">
        <v>2802</v>
      </c>
      <c r="E256" s="7" t="s">
        <v>3155</v>
      </c>
      <c r="F256" s="7" t="s">
        <v>2804</v>
      </c>
      <c r="G256" s="3" t="s">
        <v>50</v>
      </c>
      <c r="H256" s="3"/>
      <c r="I256" s="3"/>
      <c r="J256" s="3"/>
      <c r="K256" s="3"/>
      <c r="L256" s="3"/>
      <c r="M256" s="3"/>
      <c r="N256" s="3"/>
      <c r="O256" s="3"/>
      <c r="P256" s="3"/>
      <c r="Q256" s="3"/>
    </row>
    <row r="257" spans="1:17" ht="60" customHeight="1" x14ac:dyDescent="0.25">
      <c r="A257" s="9">
        <f>IF(F257="","",ROW()-19-COUNTBLANK($F$20:F257))</f>
        <v>210</v>
      </c>
      <c r="B257" s="18"/>
      <c r="C257" s="4" t="s">
        <v>2805</v>
      </c>
      <c r="D257" s="4" t="s">
        <v>2806</v>
      </c>
      <c r="E257" s="7" t="s">
        <v>2998</v>
      </c>
      <c r="F257" s="7" t="s">
        <v>2807</v>
      </c>
      <c r="G257" s="3" t="s">
        <v>55</v>
      </c>
      <c r="H257" s="3"/>
      <c r="I257" s="3"/>
      <c r="J257" s="3"/>
      <c r="K257" s="3"/>
      <c r="L257" s="3"/>
      <c r="M257" s="3"/>
      <c r="N257" s="3"/>
      <c r="O257" s="3"/>
      <c r="P257" s="3"/>
      <c r="Q257" s="3"/>
    </row>
    <row r="258" spans="1:17" ht="60" customHeight="1" x14ac:dyDescent="0.25">
      <c r="A258" s="9">
        <f>IF(F258="","",ROW()-19-COUNTBLANK($F$20:F258))</f>
        <v>211</v>
      </c>
      <c r="B258" s="19"/>
      <c r="C258" s="4" t="s">
        <v>2808</v>
      </c>
      <c r="D258" s="4" t="s">
        <v>2809</v>
      </c>
      <c r="E258" s="7" t="s">
        <v>3155</v>
      </c>
      <c r="F258" s="7" t="s">
        <v>2810</v>
      </c>
      <c r="G258" s="3" t="s">
        <v>55</v>
      </c>
      <c r="H258" s="3"/>
      <c r="I258" s="3"/>
      <c r="J258" s="3"/>
      <c r="K258" s="3"/>
      <c r="L258" s="3"/>
      <c r="M258" s="3"/>
      <c r="N258" s="3"/>
      <c r="O258" s="3"/>
      <c r="P258" s="3"/>
      <c r="Q258" s="3"/>
    </row>
    <row r="259" spans="1:17" ht="60" customHeight="1" x14ac:dyDescent="0.25">
      <c r="A259" s="9">
        <f>IF(F259="","",ROW()-19-COUNTBLANK($F$20:F259))</f>
        <v>212</v>
      </c>
      <c r="B259" s="4" t="s">
        <v>2811</v>
      </c>
      <c r="C259" s="4" t="s">
        <v>2812</v>
      </c>
      <c r="D259" s="4" t="s">
        <v>2813</v>
      </c>
      <c r="E259" s="7" t="s">
        <v>2998</v>
      </c>
      <c r="F259" s="7" t="s">
        <v>2814</v>
      </c>
      <c r="G259" s="3" t="s">
        <v>50</v>
      </c>
      <c r="H259" s="3"/>
      <c r="I259" s="3"/>
      <c r="J259" s="3"/>
      <c r="K259" s="3"/>
      <c r="L259" s="3"/>
      <c r="M259" s="3"/>
      <c r="N259" s="3"/>
      <c r="O259" s="3"/>
      <c r="P259" s="3"/>
      <c r="Q259" s="3"/>
    </row>
    <row r="260" spans="1:17" ht="20.100000000000001" customHeight="1" x14ac:dyDescent="0.25">
      <c r="A260" s="9" t="str">
        <f>IF(F260="","",ROW()-19-COUNTBLANK($F$20:F260))</f>
        <v/>
      </c>
      <c r="B260" s="12" t="s">
        <v>2839</v>
      </c>
      <c r="C260" s="12"/>
      <c r="D260" s="12"/>
      <c r="E260" s="12"/>
      <c r="F260" s="12"/>
      <c r="G260" s="12"/>
      <c r="H260" s="12"/>
      <c r="I260" s="12"/>
      <c r="J260" s="12"/>
      <c r="K260" s="12"/>
      <c r="L260" s="12"/>
      <c r="M260" s="12"/>
      <c r="N260" s="12"/>
      <c r="O260" s="12"/>
      <c r="P260" s="12"/>
      <c r="Q260" s="12"/>
    </row>
    <row r="261" spans="1:17" ht="60" customHeight="1" x14ac:dyDescent="0.25">
      <c r="A261" s="9">
        <f>IF(F261="","",ROW()-19-COUNTBLANK($F$20:F261))</f>
        <v>213</v>
      </c>
      <c r="B261" s="4" t="s">
        <v>2840</v>
      </c>
      <c r="C261" s="4" t="s">
        <v>2841</v>
      </c>
      <c r="D261" s="4" t="s">
        <v>2842</v>
      </c>
      <c r="E261" s="7" t="s">
        <v>3156</v>
      </c>
      <c r="F261" s="7" t="s">
        <v>2844</v>
      </c>
      <c r="G261" s="3" t="s">
        <v>50</v>
      </c>
      <c r="H261" s="3"/>
      <c r="I261" s="3"/>
      <c r="J261" s="3"/>
      <c r="K261" s="3"/>
      <c r="L261" s="3"/>
      <c r="M261" s="3"/>
      <c r="N261" s="3"/>
      <c r="O261" s="3"/>
      <c r="P261" s="3"/>
      <c r="Q261" s="3"/>
    </row>
    <row r="262" spans="1:17" ht="60" customHeight="1" x14ac:dyDescent="0.25">
      <c r="A262" s="9">
        <f>IF(F262="","",ROW()-19-COUNTBLANK($F$20:F262))</f>
        <v>214</v>
      </c>
      <c r="B262" s="4" t="s">
        <v>2845</v>
      </c>
      <c r="C262" s="4" t="s">
        <v>2846</v>
      </c>
      <c r="D262" s="4"/>
      <c r="E262" s="7" t="s">
        <v>3157</v>
      </c>
      <c r="F262" s="7" t="s">
        <v>2848</v>
      </c>
      <c r="G262" s="3" t="s">
        <v>50</v>
      </c>
      <c r="H262" s="3"/>
      <c r="I262" s="3"/>
      <c r="J262" s="3"/>
      <c r="K262" s="3"/>
      <c r="L262" s="3"/>
      <c r="M262" s="3"/>
      <c r="N262" s="3"/>
      <c r="O262" s="3"/>
      <c r="P262" s="3"/>
      <c r="Q262" s="3"/>
    </row>
    <row r="263" spans="1:17" ht="60" customHeight="1" x14ac:dyDescent="0.25">
      <c r="A263" s="9">
        <f>IF(F263="","",ROW()-19-COUNTBLANK($F$20:F263))</f>
        <v>215</v>
      </c>
      <c r="B263" s="4" t="s">
        <v>2849</v>
      </c>
      <c r="C263" s="4" t="s">
        <v>2850</v>
      </c>
      <c r="D263" s="4"/>
      <c r="E263" s="7" t="s">
        <v>3158</v>
      </c>
      <c r="F263" s="7" t="s">
        <v>2852</v>
      </c>
      <c r="G263" s="3" t="s">
        <v>50</v>
      </c>
      <c r="H263" s="3"/>
      <c r="I263" s="3"/>
      <c r="J263" s="3"/>
      <c r="K263" s="3"/>
      <c r="L263" s="3"/>
      <c r="M263" s="3"/>
      <c r="N263" s="3"/>
      <c r="O263" s="3"/>
      <c r="P263" s="3"/>
      <c r="Q263" s="3"/>
    </row>
    <row r="264" spans="1:17" ht="60" customHeight="1" x14ac:dyDescent="0.25">
      <c r="A264" s="9">
        <f>IF(F264="","",ROW()-19-COUNTBLANK($F$20:F264))</f>
        <v>216</v>
      </c>
      <c r="B264" s="4" t="s">
        <v>2853</v>
      </c>
      <c r="C264" s="4" t="s">
        <v>2854</v>
      </c>
      <c r="D264" s="4"/>
      <c r="E264" s="7" t="s">
        <v>3159</v>
      </c>
      <c r="F264" s="7" t="s">
        <v>2856</v>
      </c>
      <c r="G264" s="3" t="s">
        <v>50</v>
      </c>
      <c r="H264" s="3"/>
      <c r="I264" s="3"/>
      <c r="J264" s="3"/>
      <c r="K264" s="3"/>
      <c r="L264" s="3"/>
      <c r="M264" s="3"/>
      <c r="N264" s="3"/>
      <c r="O264" s="3"/>
      <c r="P264" s="3"/>
      <c r="Q264" s="3"/>
    </row>
    <row r="265" spans="1:17" ht="60" customHeight="1" x14ac:dyDescent="0.25">
      <c r="A265" s="9">
        <f>IF(F265="","",ROW()-19-COUNTBLANK($F$20:F265))</f>
        <v>217</v>
      </c>
      <c r="B265" s="4" t="s">
        <v>2857</v>
      </c>
      <c r="C265" s="4" t="s">
        <v>2858</v>
      </c>
      <c r="D265" s="4"/>
      <c r="E265" s="7" t="s">
        <v>3160</v>
      </c>
      <c r="F265" s="7" t="s">
        <v>2860</v>
      </c>
      <c r="G265" s="3" t="s">
        <v>50</v>
      </c>
      <c r="H265" s="3"/>
      <c r="I265" s="3"/>
      <c r="J265" s="3"/>
      <c r="K265" s="3"/>
      <c r="L265" s="3"/>
      <c r="M265" s="3"/>
      <c r="N265" s="3"/>
      <c r="O265" s="3"/>
      <c r="P265" s="3"/>
      <c r="Q265" s="3"/>
    </row>
    <row r="266" spans="1:17" ht="60" customHeight="1" x14ac:dyDescent="0.25">
      <c r="A266" s="9">
        <f>IF(F266="","",ROW()-19-COUNTBLANK($F$20:F266))</f>
        <v>218</v>
      </c>
      <c r="B266" s="4" t="s">
        <v>2861</v>
      </c>
      <c r="C266" s="4" t="s">
        <v>2862</v>
      </c>
      <c r="D266" s="4" t="s">
        <v>2863</v>
      </c>
      <c r="E266" s="7" t="s">
        <v>3161</v>
      </c>
      <c r="F266" s="7" t="s">
        <v>2865</v>
      </c>
      <c r="G266" s="3" t="s">
        <v>50</v>
      </c>
      <c r="H266" s="3"/>
      <c r="I266" s="3"/>
      <c r="J266" s="3"/>
      <c r="K266" s="3"/>
      <c r="L266" s="3"/>
      <c r="M266" s="3"/>
      <c r="N266" s="3"/>
      <c r="O266" s="3"/>
      <c r="P266" s="3"/>
      <c r="Q266" s="3"/>
    </row>
    <row r="267" spans="1:17" ht="60" customHeight="1" x14ac:dyDescent="0.25">
      <c r="A267" s="9">
        <f>IF(F267="","",ROW()-19-COUNTBLANK($F$20:F267))</f>
        <v>219</v>
      </c>
      <c r="B267" s="4" t="s">
        <v>2866</v>
      </c>
      <c r="C267" s="4" t="s">
        <v>2867</v>
      </c>
      <c r="D267" s="4" t="s">
        <v>2868</v>
      </c>
      <c r="E267" s="7" t="s">
        <v>3161</v>
      </c>
      <c r="F267" s="7" t="s">
        <v>2869</v>
      </c>
      <c r="G267" s="3" t="s">
        <v>55</v>
      </c>
      <c r="H267" s="3"/>
      <c r="I267" s="3"/>
      <c r="J267" s="3"/>
      <c r="K267" s="3"/>
      <c r="L267" s="3"/>
      <c r="M267" s="3"/>
      <c r="N267" s="3"/>
      <c r="O267" s="3"/>
      <c r="P267" s="3"/>
      <c r="Q267" s="3"/>
    </row>
    <row r="268" spans="1:17" ht="60" customHeight="1" x14ac:dyDescent="0.25">
      <c r="A268" s="9">
        <f>IF(F268="","",ROW()-19-COUNTBLANK($F$20:F268))</f>
        <v>220</v>
      </c>
      <c r="B268" s="4" t="s">
        <v>2870</v>
      </c>
      <c r="C268" s="4" t="s">
        <v>2871</v>
      </c>
      <c r="D268" s="4"/>
      <c r="E268" s="7" t="s">
        <v>3161</v>
      </c>
      <c r="F268" s="7" t="s">
        <v>2872</v>
      </c>
      <c r="G268" s="3" t="s">
        <v>50</v>
      </c>
      <c r="H268" s="3"/>
      <c r="I268" s="3"/>
      <c r="J268" s="3"/>
      <c r="K268" s="3"/>
      <c r="L268" s="3"/>
      <c r="M268" s="3"/>
      <c r="N268" s="3"/>
      <c r="O268" s="3"/>
      <c r="P268" s="3"/>
      <c r="Q268" s="3"/>
    </row>
    <row r="269" spans="1:17" ht="60" customHeight="1" x14ac:dyDescent="0.25">
      <c r="A269" s="9">
        <f>IF(F269="","",ROW()-19-COUNTBLANK($F$20:F269))</f>
        <v>221</v>
      </c>
      <c r="B269" s="4" t="s">
        <v>2873</v>
      </c>
      <c r="C269" s="4" t="s">
        <v>2874</v>
      </c>
      <c r="D269" s="4" t="s">
        <v>2875</v>
      </c>
      <c r="E269" s="7" t="s">
        <v>3162</v>
      </c>
      <c r="F269" s="7" t="s">
        <v>2877</v>
      </c>
      <c r="G269" s="3" t="s">
        <v>50</v>
      </c>
      <c r="H269" s="3"/>
      <c r="I269" s="3"/>
      <c r="J269" s="3"/>
      <c r="K269" s="3"/>
      <c r="L269" s="3"/>
      <c r="M269" s="3"/>
      <c r="N269" s="3"/>
      <c r="O269" s="3"/>
      <c r="P269" s="3"/>
      <c r="Q269" s="3"/>
    </row>
    <row r="270" spans="1:17" ht="60" customHeight="1" x14ac:dyDescent="0.25">
      <c r="A270" s="9">
        <f>IF(F270="","",ROW()-19-COUNTBLANK($F$20:F270))</f>
        <v>222</v>
      </c>
      <c r="B270" s="4" t="s">
        <v>2878</v>
      </c>
      <c r="C270" s="4" t="s">
        <v>2879</v>
      </c>
      <c r="D270" s="4" t="s">
        <v>2880</v>
      </c>
      <c r="E270" s="7" t="s">
        <v>3163</v>
      </c>
      <c r="F270" s="7" t="s">
        <v>2882</v>
      </c>
      <c r="G270" s="3" t="s">
        <v>55</v>
      </c>
      <c r="H270" s="3"/>
      <c r="I270" s="3"/>
      <c r="J270" s="3"/>
      <c r="K270" s="3"/>
      <c r="L270" s="3"/>
      <c r="M270" s="3"/>
      <c r="N270" s="3"/>
      <c r="O270" s="3"/>
      <c r="P270" s="3"/>
      <c r="Q270" s="3"/>
    </row>
    <row r="271" spans="1:17" ht="60" customHeight="1" x14ac:dyDescent="0.25">
      <c r="A271" s="9">
        <f>IF(F271="","",ROW()-19-COUNTBLANK($F$20:F271))</f>
        <v>223</v>
      </c>
      <c r="B271" s="4" t="s">
        <v>2883</v>
      </c>
      <c r="C271" s="4" t="s">
        <v>2884</v>
      </c>
      <c r="D271" s="4" t="s">
        <v>2885</v>
      </c>
      <c r="E271" s="7" t="s">
        <v>3164</v>
      </c>
      <c r="F271" s="7" t="s">
        <v>2887</v>
      </c>
      <c r="G271" s="3" t="s">
        <v>55</v>
      </c>
      <c r="H271" s="3"/>
      <c r="I271" s="3"/>
      <c r="J271" s="3"/>
      <c r="K271" s="3"/>
      <c r="L271" s="3"/>
      <c r="M271" s="3"/>
      <c r="N271" s="3"/>
      <c r="O271" s="3"/>
      <c r="P271" s="3"/>
      <c r="Q271" s="3"/>
    </row>
    <row r="272" spans="1:17" ht="20.100000000000001" customHeight="1" x14ac:dyDescent="0.25">
      <c r="A272" s="9" t="str">
        <f>IF(F272="","",ROW()-19-COUNTBLANK($F$20:F272))</f>
        <v/>
      </c>
      <c r="B272" s="12" t="s">
        <v>2888</v>
      </c>
      <c r="C272" s="12"/>
      <c r="D272" s="12"/>
      <c r="E272" s="12"/>
      <c r="F272" s="12"/>
      <c r="G272" s="12"/>
      <c r="H272" s="12"/>
      <c r="I272" s="12"/>
      <c r="J272" s="12"/>
      <c r="K272" s="12"/>
      <c r="L272" s="12"/>
      <c r="M272" s="12"/>
      <c r="N272" s="12"/>
      <c r="O272" s="12"/>
      <c r="P272" s="12"/>
      <c r="Q272" s="12"/>
    </row>
    <row r="273" spans="1:17" ht="60" customHeight="1" x14ac:dyDescent="0.25">
      <c r="A273" s="9">
        <f>IF(F273="","",ROW()-19-COUNTBLANK($F$20:F273))</f>
        <v>224</v>
      </c>
      <c r="B273" s="4" t="s">
        <v>2889</v>
      </c>
      <c r="C273" s="4" t="s">
        <v>2890</v>
      </c>
      <c r="D273" s="4" t="s">
        <v>2891</v>
      </c>
      <c r="E273" s="7" t="s">
        <v>3165</v>
      </c>
      <c r="F273" s="7" t="s">
        <v>2893</v>
      </c>
      <c r="G273" s="3" t="s">
        <v>50</v>
      </c>
      <c r="H273" s="3"/>
      <c r="I273" s="3"/>
      <c r="J273" s="3"/>
      <c r="K273" s="3"/>
      <c r="L273" s="3"/>
      <c r="M273" s="3"/>
      <c r="N273" s="3"/>
      <c r="O273" s="3"/>
      <c r="P273" s="3"/>
      <c r="Q273" s="3"/>
    </row>
    <row r="274" spans="1:17" ht="60" customHeight="1" x14ac:dyDescent="0.25">
      <c r="A274" s="9">
        <f>IF(F274="","",ROW()-19-COUNTBLANK($F$20:F274))</f>
        <v>225</v>
      </c>
      <c r="B274" s="4" t="s">
        <v>2894</v>
      </c>
      <c r="C274" s="4" t="s">
        <v>2895</v>
      </c>
      <c r="D274" s="4"/>
      <c r="E274" s="7" t="s">
        <v>3166</v>
      </c>
      <c r="F274" s="7" t="s">
        <v>2897</v>
      </c>
      <c r="G274" s="3" t="s">
        <v>50</v>
      </c>
      <c r="H274" s="3"/>
      <c r="I274" s="3"/>
      <c r="J274" s="3"/>
      <c r="K274" s="3"/>
      <c r="L274" s="3"/>
      <c r="M274" s="3"/>
      <c r="N274" s="3"/>
      <c r="O274" s="3"/>
      <c r="P274" s="3"/>
      <c r="Q274" s="3"/>
    </row>
    <row r="275" spans="1:17" ht="60" customHeight="1" x14ac:dyDescent="0.25">
      <c r="A275" s="9">
        <f>IF(F275="","",ROW()-19-COUNTBLANK($F$20:F275))</f>
        <v>226</v>
      </c>
      <c r="B275" s="4" t="s">
        <v>2898</v>
      </c>
      <c r="C275" s="4" t="s">
        <v>2899</v>
      </c>
      <c r="D275" s="4"/>
      <c r="E275" s="7" t="s">
        <v>3167</v>
      </c>
      <c r="F275" s="7" t="s">
        <v>2901</v>
      </c>
      <c r="G275" s="3" t="s">
        <v>50</v>
      </c>
      <c r="H275" s="3"/>
      <c r="I275" s="3"/>
      <c r="J275" s="3"/>
      <c r="K275" s="3"/>
      <c r="L275" s="3"/>
      <c r="M275" s="3"/>
      <c r="N275" s="3"/>
      <c r="O275" s="3"/>
      <c r="P275" s="3"/>
      <c r="Q275" s="3"/>
    </row>
    <row r="276" spans="1:17" ht="60" customHeight="1" x14ac:dyDescent="0.25">
      <c r="A276" s="9">
        <f>IF(F276="","",ROW()-19-COUNTBLANK($F$20:F276))</f>
        <v>227</v>
      </c>
      <c r="B276" s="4" t="s">
        <v>2902</v>
      </c>
      <c r="C276" s="4" t="s">
        <v>2903</v>
      </c>
      <c r="D276" s="4" t="s">
        <v>2904</v>
      </c>
      <c r="E276" s="7" t="s">
        <v>3168</v>
      </c>
      <c r="F276" s="7" t="s">
        <v>2906</v>
      </c>
      <c r="G276" s="3" t="s">
        <v>50</v>
      </c>
      <c r="H276" s="3"/>
      <c r="I276" s="3"/>
      <c r="J276" s="3"/>
      <c r="K276" s="3"/>
      <c r="L276" s="3"/>
      <c r="M276" s="3"/>
      <c r="N276" s="3"/>
      <c r="O276" s="3"/>
      <c r="P276" s="3"/>
      <c r="Q276" s="3"/>
    </row>
    <row r="277" spans="1:17" ht="20.100000000000001" customHeight="1" x14ac:dyDescent="0.25">
      <c r="A277" s="9" t="str">
        <f>IF(F277="","",ROW()-19-COUNTBLANK($F$20:F277))</f>
        <v/>
      </c>
      <c r="B277" s="12" t="s">
        <v>2907</v>
      </c>
      <c r="C277" s="12"/>
      <c r="D277" s="12"/>
      <c r="E277" s="12"/>
      <c r="F277" s="12"/>
      <c r="G277" s="12"/>
      <c r="H277" s="12"/>
      <c r="I277" s="12"/>
      <c r="J277" s="12"/>
      <c r="K277" s="12"/>
      <c r="L277" s="12"/>
      <c r="M277" s="12"/>
      <c r="N277" s="12"/>
      <c r="O277" s="12"/>
      <c r="P277" s="12"/>
      <c r="Q277" s="12"/>
    </row>
    <row r="278" spans="1:17" ht="60" customHeight="1" x14ac:dyDescent="0.25">
      <c r="A278" s="9">
        <f>IF(F278="","",ROW()-19-COUNTBLANK($F$20:F278))</f>
        <v>228</v>
      </c>
      <c r="B278" s="4" t="s">
        <v>2908</v>
      </c>
      <c r="C278" s="4" t="s">
        <v>2909</v>
      </c>
      <c r="D278" s="4"/>
      <c r="E278" s="7" t="s">
        <v>3169</v>
      </c>
      <c r="F278" s="7" t="s">
        <v>2911</v>
      </c>
      <c r="G278" s="3" t="s">
        <v>50</v>
      </c>
      <c r="H278" s="3"/>
      <c r="I278" s="3"/>
      <c r="J278" s="3"/>
      <c r="K278" s="3"/>
      <c r="L278" s="3"/>
      <c r="M278" s="3"/>
      <c r="N278" s="3"/>
      <c r="O278" s="3"/>
      <c r="P278" s="3"/>
      <c r="Q278" s="3"/>
    </row>
    <row r="279" spans="1:17" ht="60" customHeight="1" x14ac:dyDescent="0.25">
      <c r="A279" s="9">
        <f>IF(F279="","",ROW()-19-COUNTBLANK($F$20:F279))</f>
        <v>229</v>
      </c>
      <c r="B279" s="4" t="s">
        <v>2912</v>
      </c>
      <c r="C279" s="4" t="s">
        <v>2913</v>
      </c>
      <c r="D279" s="4"/>
      <c r="E279" s="7" t="s">
        <v>3170</v>
      </c>
      <c r="F279" s="7" t="s">
        <v>2915</v>
      </c>
      <c r="G279" s="3" t="s">
        <v>55</v>
      </c>
      <c r="H279" s="3"/>
      <c r="I279" s="3"/>
      <c r="J279" s="3"/>
      <c r="K279" s="3"/>
      <c r="L279" s="3"/>
      <c r="M279" s="3"/>
      <c r="N279" s="3"/>
      <c r="O279" s="3"/>
      <c r="P279" s="3"/>
      <c r="Q279" s="3"/>
    </row>
    <row r="280" spans="1:17" ht="60" customHeight="1" x14ac:dyDescent="0.25">
      <c r="A280" s="9">
        <f>IF(F280="","",ROW()-19-COUNTBLANK($F$20:F280))</f>
        <v>230</v>
      </c>
      <c r="B280" s="4" t="s">
        <v>2916</v>
      </c>
      <c r="C280" s="4" t="s">
        <v>3171</v>
      </c>
      <c r="D280" s="4"/>
      <c r="E280" s="7" t="s">
        <v>3172</v>
      </c>
      <c r="F280" s="7" t="s">
        <v>2919</v>
      </c>
      <c r="G280" s="3" t="s">
        <v>50</v>
      </c>
      <c r="H280" s="3"/>
      <c r="I280" s="3"/>
      <c r="J280" s="3"/>
      <c r="K280" s="3"/>
      <c r="L280" s="3"/>
      <c r="M280" s="3"/>
      <c r="N280" s="3"/>
      <c r="O280" s="3"/>
      <c r="P280" s="3"/>
      <c r="Q280" s="3"/>
    </row>
    <row r="281" spans="1:17" ht="60" customHeight="1" x14ac:dyDescent="0.25">
      <c r="A281" s="9">
        <f>IF(F281="","",ROW()-19-COUNTBLANK($F$20:F281))</f>
        <v>231</v>
      </c>
      <c r="B281" s="4" t="s">
        <v>2920</v>
      </c>
      <c r="C281" s="4" t="s">
        <v>2921</v>
      </c>
      <c r="D281" s="4" t="s">
        <v>2922</v>
      </c>
      <c r="E281" s="7" t="s">
        <v>3173</v>
      </c>
      <c r="F281" s="7" t="s">
        <v>2924</v>
      </c>
      <c r="G281" s="3" t="s">
        <v>50</v>
      </c>
      <c r="H281" s="3"/>
      <c r="I281" s="3"/>
      <c r="J281" s="3"/>
      <c r="K281" s="3"/>
      <c r="L281" s="3"/>
      <c r="M281" s="3"/>
      <c r="N281" s="3"/>
      <c r="O281" s="3"/>
      <c r="P281" s="3"/>
      <c r="Q281" s="3"/>
    </row>
    <row r="282" spans="1:17" ht="60" customHeight="1" x14ac:dyDescent="0.25">
      <c r="A282" s="9">
        <f>IF(F282="","",ROW()-19-COUNTBLANK($F$20:F282))</f>
        <v>232</v>
      </c>
      <c r="B282" s="4" t="s">
        <v>2925</v>
      </c>
      <c r="C282" s="4" t="s">
        <v>2926</v>
      </c>
      <c r="D282" s="4" t="s">
        <v>2927</v>
      </c>
      <c r="E282" s="7" t="s">
        <v>2928</v>
      </c>
      <c r="F282" s="7" t="s">
        <v>2929</v>
      </c>
      <c r="G282" s="3" t="s">
        <v>50</v>
      </c>
      <c r="H282" s="3"/>
      <c r="I282" s="3"/>
      <c r="J282" s="3"/>
      <c r="K282" s="3"/>
      <c r="L282" s="3"/>
      <c r="M282" s="3"/>
      <c r="N282" s="3"/>
      <c r="O282" s="3"/>
      <c r="P282" s="3"/>
      <c r="Q282" s="3"/>
    </row>
    <row r="283" spans="1:17" ht="60" customHeight="1" x14ac:dyDescent="0.25">
      <c r="A283" s="9">
        <f>IF(F283="","",ROW()-19-COUNTBLANK($F$20:F283))</f>
        <v>233</v>
      </c>
      <c r="B283" s="4" t="s">
        <v>2930</v>
      </c>
      <c r="C283" s="4" t="s">
        <v>2931</v>
      </c>
      <c r="D283" s="4" t="s">
        <v>2932</v>
      </c>
      <c r="E283" s="7" t="s">
        <v>2933</v>
      </c>
      <c r="F283" s="7" t="s">
        <v>2934</v>
      </c>
      <c r="G283" s="3" t="s">
        <v>55</v>
      </c>
      <c r="H283" s="3"/>
      <c r="I283" s="3"/>
      <c r="J283" s="3"/>
      <c r="K283" s="3"/>
      <c r="L283" s="3"/>
      <c r="M283" s="3"/>
      <c r="N283" s="3"/>
      <c r="O283" s="3"/>
      <c r="P283" s="3"/>
      <c r="Q283" s="3"/>
    </row>
    <row r="284" spans="1:17" ht="60" customHeight="1" x14ac:dyDescent="0.25">
      <c r="A284" s="9">
        <f>IF(F284="","",ROW()-19-COUNTBLANK($F$20:F284))</f>
        <v>234</v>
      </c>
      <c r="B284" s="4" t="s">
        <v>2935</v>
      </c>
      <c r="C284" s="4" t="s">
        <v>2936</v>
      </c>
      <c r="D284" s="4" t="s">
        <v>3174</v>
      </c>
      <c r="E284" s="7" t="s">
        <v>3175</v>
      </c>
      <c r="F284" s="7" t="s">
        <v>2939</v>
      </c>
      <c r="G284" s="3" t="s">
        <v>50</v>
      </c>
      <c r="H284" s="3"/>
      <c r="I284" s="3"/>
      <c r="J284" s="3"/>
      <c r="K284" s="3"/>
      <c r="L284" s="3"/>
      <c r="M284" s="3"/>
      <c r="N284" s="3"/>
      <c r="O284" s="3"/>
      <c r="P284" s="3"/>
      <c r="Q284" s="3"/>
    </row>
    <row r="285" spans="1:17" ht="60" customHeight="1" x14ac:dyDescent="0.25">
      <c r="A285" s="9">
        <f>IF(F285="","",ROW()-19-COUNTBLANK($F$20:F285))</f>
        <v>235</v>
      </c>
      <c r="B285" s="4" t="s">
        <v>2940</v>
      </c>
      <c r="C285" s="4" t="s">
        <v>2941</v>
      </c>
      <c r="D285" s="4" t="s">
        <v>2942</v>
      </c>
      <c r="E285" s="7" t="s">
        <v>3176</v>
      </c>
      <c r="F285" s="7" t="s">
        <v>2944</v>
      </c>
      <c r="G285" s="3" t="s">
        <v>50</v>
      </c>
      <c r="H285" s="3"/>
      <c r="I285" s="3"/>
      <c r="J285" s="3"/>
      <c r="K285" s="3"/>
      <c r="L285" s="3"/>
      <c r="M285" s="3"/>
      <c r="N285" s="3"/>
      <c r="O285" s="3"/>
      <c r="P285" s="3"/>
      <c r="Q285" s="3"/>
    </row>
    <row r="286" spans="1:17" ht="60" customHeight="1" x14ac:dyDescent="0.25">
      <c r="A286" s="9">
        <f>IF(F286="","",ROW()-19-COUNTBLANK($F$20:F286))</f>
        <v>236</v>
      </c>
      <c r="B286" s="4" t="s">
        <v>2945</v>
      </c>
      <c r="C286" s="4" t="s">
        <v>2941</v>
      </c>
      <c r="D286" s="4" t="s">
        <v>2942</v>
      </c>
      <c r="E286" s="7" t="s">
        <v>3177</v>
      </c>
      <c r="F286" s="7" t="s">
        <v>2947</v>
      </c>
      <c r="G286" s="3" t="s">
        <v>50</v>
      </c>
      <c r="H286" s="3"/>
      <c r="I286" s="3"/>
      <c r="J286" s="3"/>
      <c r="K286" s="3"/>
      <c r="L286" s="3"/>
      <c r="M286" s="3"/>
      <c r="N286" s="3"/>
      <c r="O286" s="3"/>
      <c r="P286" s="3"/>
      <c r="Q286" s="3"/>
    </row>
    <row r="287" spans="1:17" ht="60" customHeight="1" x14ac:dyDescent="0.25">
      <c r="A287" s="9">
        <f>IF(F287="","",ROW()-19-COUNTBLANK($F$20:F287))</f>
        <v>237</v>
      </c>
      <c r="B287" s="4" t="s">
        <v>2948</v>
      </c>
      <c r="C287" s="4" t="s">
        <v>2949</v>
      </c>
      <c r="D287" s="4" t="s">
        <v>2950</v>
      </c>
      <c r="E287" s="7" t="s">
        <v>3178</v>
      </c>
      <c r="F287" s="7" t="s">
        <v>2952</v>
      </c>
      <c r="G287" s="3" t="s">
        <v>50</v>
      </c>
      <c r="H287" s="3"/>
      <c r="I287" s="3"/>
      <c r="J287" s="3"/>
      <c r="K287" s="3"/>
      <c r="L287" s="3"/>
      <c r="M287" s="3"/>
      <c r="N287" s="3"/>
      <c r="O287" s="3"/>
      <c r="P287" s="3"/>
      <c r="Q287" s="3"/>
    </row>
    <row r="288" spans="1:17" ht="60" customHeight="1" x14ac:dyDescent="0.25">
      <c r="A288" s="9">
        <f>IF(F288="","",ROW()-19-COUNTBLANK($F$20:F288))</f>
        <v>238</v>
      </c>
      <c r="B288" s="4" t="s">
        <v>2953</v>
      </c>
      <c r="C288" s="4" t="s">
        <v>2954</v>
      </c>
      <c r="D288" s="4" t="s">
        <v>2955</v>
      </c>
      <c r="E288" s="7" t="s">
        <v>3179</v>
      </c>
      <c r="F288" s="7" t="s">
        <v>2957</v>
      </c>
      <c r="G288" s="3" t="s">
        <v>50</v>
      </c>
      <c r="H288" s="3"/>
      <c r="I288" s="3"/>
      <c r="J288" s="3"/>
      <c r="K288" s="3"/>
      <c r="L288" s="3"/>
      <c r="M288" s="3"/>
      <c r="N288" s="3"/>
      <c r="O288" s="3"/>
      <c r="P288" s="3"/>
      <c r="Q288" s="3"/>
    </row>
    <row r="289" spans="1:17" ht="60" customHeight="1" x14ac:dyDescent="0.25">
      <c r="A289" s="9">
        <f>IF(F289="","",ROW()-19-COUNTBLANK($F$20:F289))</f>
        <v>239</v>
      </c>
      <c r="B289" s="4" t="s">
        <v>2958</v>
      </c>
      <c r="C289" s="4" t="s">
        <v>2959</v>
      </c>
      <c r="D289" s="4" t="s">
        <v>2960</v>
      </c>
      <c r="E289" s="7" t="s">
        <v>3179</v>
      </c>
      <c r="F289" s="7" t="s">
        <v>2961</v>
      </c>
      <c r="G289" s="3" t="s">
        <v>50</v>
      </c>
      <c r="H289" s="3"/>
      <c r="I289" s="3"/>
      <c r="J289" s="3"/>
      <c r="K289" s="3"/>
      <c r="L289" s="3"/>
      <c r="M289" s="3"/>
      <c r="N289" s="3"/>
      <c r="O289" s="3"/>
      <c r="P289" s="3"/>
      <c r="Q289" s="3"/>
    </row>
    <row r="290" spans="1:17" ht="60" customHeight="1" x14ac:dyDescent="0.25">
      <c r="A290" s="9">
        <f>IF(F290="","",ROW()-19-COUNTBLANK($F$20:F290))</f>
        <v>240</v>
      </c>
      <c r="B290" s="4" t="s">
        <v>2962</v>
      </c>
      <c r="C290" s="4" t="s">
        <v>2963</v>
      </c>
      <c r="D290" s="4" t="s">
        <v>2964</v>
      </c>
      <c r="E290" s="7" t="s">
        <v>3180</v>
      </c>
      <c r="F290" s="7" t="s">
        <v>2966</v>
      </c>
      <c r="G290" s="3" t="s">
        <v>50</v>
      </c>
      <c r="H290" s="3"/>
      <c r="I290" s="3"/>
      <c r="J290" s="3"/>
      <c r="K290" s="3"/>
      <c r="L290" s="3"/>
      <c r="M290" s="3"/>
      <c r="N290" s="3"/>
      <c r="O290" s="3"/>
      <c r="P290" s="3"/>
      <c r="Q290" s="3"/>
    </row>
    <row r="291" spans="1:17" ht="60" customHeight="1" x14ac:dyDescent="0.25">
      <c r="A291" s="9">
        <f>IF(F291="","",ROW()-19-COUNTBLANK($F$20:F291))</f>
        <v>241</v>
      </c>
      <c r="B291" s="4" t="s">
        <v>2967</v>
      </c>
      <c r="C291" s="4" t="s">
        <v>2968</v>
      </c>
      <c r="D291" s="4" t="s">
        <v>2955</v>
      </c>
      <c r="E291" s="7" t="s">
        <v>3181</v>
      </c>
      <c r="F291" s="7" t="s">
        <v>2957</v>
      </c>
      <c r="G291" s="3" t="s">
        <v>50</v>
      </c>
      <c r="H291" s="3"/>
      <c r="I291" s="3"/>
      <c r="J291" s="3"/>
      <c r="K291" s="3"/>
      <c r="L291" s="3"/>
      <c r="M291" s="3"/>
      <c r="N291" s="3"/>
      <c r="O291" s="3"/>
      <c r="P291" s="3"/>
      <c r="Q291" s="3"/>
    </row>
    <row r="292" spans="1:17" ht="60" customHeight="1" x14ac:dyDescent="0.25">
      <c r="A292" s="9">
        <f>IF(F292="","",ROW()-19-COUNTBLANK($F$20:F292))</f>
        <v>242</v>
      </c>
      <c r="B292" s="4" t="s">
        <v>2970</v>
      </c>
      <c r="C292" s="4" t="s">
        <v>2971</v>
      </c>
      <c r="D292" s="4" t="s">
        <v>2960</v>
      </c>
      <c r="E292" s="7" t="s">
        <v>3181</v>
      </c>
      <c r="F292" s="7" t="s">
        <v>2961</v>
      </c>
      <c r="G292" s="3" t="s">
        <v>50</v>
      </c>
      <c r="H292" s="3"/>
      <c r="I292" s="3"/>
      <c r="J292" s="3"/>
      <c r="K292" s="3"/>
      <c r="L292" s="3"/>
      <c r="M292" s="3"/>
      <c r="N292" s="3"/>
      <c r="O292" s="3"/>
      <c r="P292" s="3"/>
      <c r="Q292" s="3"/>
    </row>
    <row r="293" spans="1:17" ht="60" customHeight="1" x14ac:dyDescent="0.25">
      <c r="A293" s="9">
        <f>IF(F293="","",ROW()-19-COUNTBLANK($F$20:F293))</f>
        <v>243</v>
      </c>
      <c r="B293" s="4" t="s">
        <v>2972</v>
      </c>
      <c r="C293" s="4" t="s">
        <v>2973</v>
      </c>
      <c r="D293" s="4" t="s">
        <v>2964</v>
      </c>
      <c r="E293" s="7" t="s">
        <v>3182</v>
      </c>
      <c r="F293" s="7" t="s">
        <v>2966</v>
      </c>
      <c r="G293" s="3" t="s">
        <v>50</v>
      </c>
      <c r="H293" s="3"/>
      <c r="I293" s="3"/>
      <c r="J293" s="3"/>
      <c r="K293" s="3"/>
      <c r="L293" s="3"/>
      <c r="M293" s="3"/>
      <c r="N293" s="3"/>
      <c r="O293" s="3"/>
      <c r="P293" s="3"/>
      <c r="Q293" s="3"/>
    </row>
  </sheetData>
  <mergeCells count="44">
    <mergeCell ref="G15:G17"/>
    <mergeCell ref="B142:B158"/>
    <mergeCell ref="B252:B255"/>
    <mergeCell ref="I16:N16"/>
    <mergeCell ref="C145:C148"/>
    <mergeCell ref="B256:B258"/>
    <mergeCell ref="P15:P17"/>
    <mergeCell ref="C189:C192"/>
    <mergeCell ref="A15:A17"/>
    <mergeCell ref="B1:F1"/>
    <mergeCell ref="B240:B245"/>
    <mergeCell ref="C193:C198"/>
    <mergeCell ref="C15:C17"/>
    <mergeCell ref="B234:F234"/>
    <mergeCell ref="C132:C137"/>
    <mergeCell ref="B19:F19"/>
    <mergeCell ref="O15:O17"/>
    <mergeCell ref="C72:C73"/>
    <mergeCell ref="C138:C141"/>
    <mergeCell ref="F15:F17"/>
    <mergeCell ref="B186:B202"/>
    <mergeCell ref="Q15:Q17"/>
    <mergeCell ref="B72:B75"/>
    <mergeCell ref="B203:B219"/>
    <mergeCell ref="B15:B17"/>
    <mergeCell ref="C203:C205"/>
    <mergeCell ref="B18:F18"/>
    <mergeCell ref="C128:C131"/>
    <mergeCell ref="C186:C188"/>
    <mergeCell ref="C125:C127"/>
    <mergeCell ref="H15:H17"/>
    <mergeCell ref="B66:B68"/>
    <mergeCell ref="I15:N15"/>
    <mergeCell ref="C155:C158"/>
    <mergeCell ref="C199:C202"/>
    <mergeCell ref="C149:C154"/>
    <mergeCell ref="E15:E17"/>
    <mergeCell ref="C216:C219"/>
    <mergeCell ref="B125:B141"/>
    <mergeCell ref="D15:D17"/>
    <mergeCell ref="C210:C215"/>
    <mergeCell ref="C206:C209"/>
    <mergeCell ref="B69:B71"/>
    <mergeCell ref="C142:C14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339"/>
  <sheetViews>
    <sheetView workbookViewId="0"/>
  </sheetViews>
  <sheetFormatPr defaultRowHeight="15" x14ac:dyDescent="0.25"/>
  <cols>
    <col min="1" max="1" width="13" customWidth="1"/>
    <col min="2" max="2" width="33.5703125" customWidth="1"/>
    <col min="3" max="4" width="28" customWidth="1"/>
    <col min="5" max="5" width="44.28515625" customWidth="1"/>
    <col min="6" max="6" width="59.7109375" customWidth="1"/>
    <col min="7" max="7" width="12.5703125" customWidth="1"/>
    <col min="8" max="17" width="13" customWidth="1"/>
  </cols>
  <sheetData>
    <row r="1" spans="1:17" x14ac:dyDescent="0.25">
      <c r="B1" s="25" t="s">
        <v>20</v>
      </c>
      <c r="C1" s="14"/>
      <c r="D1" s="14"/>
      <c r="E1" s="14"/>
      <c r="F1" s="14"/>
    </row>
    <row r="3" spans="1:17" ht="110.25" x14ac:dyDescent="0.25">
      <c r="B3" s="6" t="s">
        <v>21</v>
      </c>
      <c r="C3" s="7" t="s">
        <v>17</v>
      </c>
      <c r="E3" s="6" t="s">
        <v>22</v>
      </c>
      <c r="F3" s="8"/>
    </row>
    <row r="4" spans="1:17" ht="15.75" x14ac:dyDescent="0.25">
      <c r="B4" s="6" t="s">
        <v>23</v>
      </c>
      <c r="C4" s="7" t="s">
        <v>24</v>
      </c>
      <c r="E4" s="6" t="s">
        <v>25</v>
      </c>
    </row>
    <row r="6" spans="1:17" ht="15.75" x14ac:dyDescent="0.25">
      <c r="B6" s="6" t="s">
        <v>3</v>
      </c>
    </row>
    <row r="7" spans="1:17" ht="15.75" x14ac:dyDescent="0.25">
      <c r="B7" s="6" t="s">
        <v>4</v>
      </c>
      <c r="C7" s="9">
        <f>COUNTIF($O$20:$O$339,"P")</f>
        <v>0</v>
      </c>
    </row>
    <row r="8" spans="1:17" ht="31.5" x14ac:dyDescent="0.25">
      <c r="B8" s="6" t="s">
        <v>5</v>
      </c>
      <c r="C8" s="9">
        <f>COUNTIF($O$20:$O$339,"F")</f>
        <v>0</v>
      </c>
    </row>
    <row r="9" spans="1:17" ht="31.5" x14ac:dyDescent="0.25">
      <c r="B9" s="6" t="s">
        <v>6</v>
      </c>
      <c r="C9" s="9">
        <f>COUNTIF($O$20:$O$339,"PE")</f>
        <v>0</v>
      </c>
    </row>
    <row r="10" spans="1:17" ht="31.5" x14ac:dyDescent="0.25">
      <c r="B10" s="6" t="s">
        <v>7</v>
      </c>
      <c r="C10" s="9">
        <f>C11-C7-C8-C9</f>
        <v>284</v>
      </c>
    </row>
    <row r="11" spans="1:17" ht="15.75" x14ac:dyDescent="0.25">
      <c r="B11" s="6" t="s">
        <v>8</v>
      </c>
      <c r="C11" s="9">
        <f>COUNTA($F$20:$F$339)</f>
        <v>284</v>
      </c>
    </row>
    <row r="15" spans="1:17" x14ac:dyDescent="0.25">
      <c r="A15" s="20" t="s">
        <v>26</v>
      </c>
      <c r="B15" s="20" t="s">
        <v>27</v>
      </c>
      <c r="C15" s="20" t="s">
        <v>28</v>
      </c>
      <c r="D15" s="20" t="s">
        <v>29</v>
      </c>
      <c r="E15" s="20" t="s">
        <v>30</v>
      </c>
      <c r="F15" s="20" t="s">
        <v>31</v>
      </c>
      <c r="G15" s="20" t="s">
        <v>32</v>
      </c>
      <c r="H15" s="20" t="s">
        <v>33</v>
      </c>
      <c r="I15" s="20" t="s">
        <v>34</v>
      </c>
      <c r="J15" s="14"/>
      <c r="K15" s="14"/>
      <c r="L15" s="14"/>
      <c r="M15" s="14"/>
      <c r="N15" s="14"/>
      <c r="O15" s="20" t="s">
        <v>35</v>
      </c>
      <c r="P15" s="20" t="s">
        <v>36</v>
      </c>
      <c r="Q15" s="20" t="s">
        <v>37</v>
      </c>
    </row>
    <row r="16" spans="1:17" x14ac:dyDescent="0.25">
      <c r="A16" s="14"/>
      <c r="B16" s="14"/>
      <c r="C16" s="14"/>
      <c r="D16" s="14"/>
      <c r="E16" s="14"/>
      <c r="F16" s="14"/>
      <c r="G16" s="14"/>
      <c r="H16" s="14"/>
      <c r="I16" s="20" t="s">
        <v>38</v>
      </c>
      <c r="J16" s="14"/>
      <c r="K16" s="14"/>
      <c r="L16" s="14"/>
      <c r="M16" s="14"/>
      <c r="N16" s="14"/>
      <c r="O16" s="14"/>
      <c r="P16" s="14"/>
      <c r="Q16" s="14"/>
    </row>
    <row r="17" spans="1:17" ht="31.5" x14ac:dyDescent="0.25">
      <c r="A17" s="14"/>
      <c r="B17" s="14"/>
      <c r="C17" s="14"/>
      <c r="D17" s="14"/>
      <c r="E17" s="14"/>
      <c r="F17" s="14"/>
      <c r="G17" s="14"/>
      <c r="H17" s="14"/>
      <c r="I17" s="10" t="s">
        <v>39</v>
      </c>
      <c r="J17" s="10" t="s">
        <v>40</v>
      </c>
      <c r="K17" s="10" t="s">
        <v>41</v>
      </c>
      <c r="L17" s="10" t="s">
        <v>40</v>
      </c>
      <c r="M17" s="10" t="s">
        <v>42</v>
      </c>
      <c r="N17" s="10" t="s">
        <v>40</v>
      </c>
      <c r="O17" s="14"/>
      <c r="P17" s="14"/>
      <c r="Q17" s="14"/>
    </row>
    <row r="18" spans="1:17" ht="80.099999999999994" customHeight="1" x14ac:dyDescent="0.25">
      <c r="B18" s="21" t="s">
        <v>2326</v>
      </c>
      <c r="C18" s="14"/>
      <c r="D18" s="14"/>
      <c r="E18" s="14"/>
      <c r="F18" s="14"/>
    </row>
    <row r="19" spans="1:17" ht="20.100000000000001" customHeight="1" x14ac:dyDescent="0.25">
      <c r="A19" s="11"/>
      <c r="B19" s="22" t="s">
        <v>44</v>
      </c>
      <c r="C19" s="23"/>
      <c r="D19" s="23"/>
      <c r="E19" s="23"/>
      <c r="F19" s="24"/>
      <c r="G19" s="11"/>
      <c r="H19" s="11"/>
      <c r="I19" s="11"/>
      <c r="J19" s="11"/>
      <c r="K19" s="11"/>
      <c r="L19" s="11"/>
      <c r="M19" s="11"/>
      <c r="N19" s="11"/>
      <c r="O19" s="11"/>
      <c r="P19" s="11"/>
      <c r="Q19" s="11"/>
    </row>
    <row r="20" spans="1:17" ht="20.100000000000001" customHeight="1" x14ac:dyDescent="0.25">
      <c r="A20" s="9" t="str">
        <f>IF(F20="","",ROW()-19-COUNTBLANK($F$20:F20))</f>
        <v/>
      </c>
      <c r="B20" s="12" t="s">
        <v>45</v>
      </c>
      <c r="C20" s="12"/>
      <c r="D20" s="12"/>
      <c r="E20" s="12"/>
      <c r="F20" s="12"/>
      <c r="G20" s="12"/>
      <c r="H20" s="12"/>
      <c r="I20" s="12"/>
      <c r="J20" s="12"/>
      <c r="K20" s="12"/>
      <c r="L20" s="12"/>
      <c r="M20" s="12"/>
      <c r="N20" s="12"/>
      <c r="O20" s="12"/>
      <c r="P20" s="12"/>
      <c r="Q20" s="12"/>
    </row>
    <row r="21" spans="1:17" ht="60" customHeight="1" x14ac:dyDescent="0.25">
      <c r="A21" s="9">
        <f>IF(F21="","",ROW()-19-COUNTBLANK($F$20:F21))</f>
        <v>1</v>
      </c>
      <c r="B21" s="4" t="s">
        <v>46</v>
      </c>
      <c r="C21" s="4" t="s">
        <v>3183</v>
      </c>
      <c r="D21" s="4"/>
      <c r="E21" s="7" t="s">
        <v>3184</v>
      </c>
      <c r="F21" s="7" t="s">
        <v>3185</v>
      </c>
      <c r="G21" s="3" t="s">
        <v>50</v>
      </c>
      <c r="H21" s="3"/>
      <c r="I21" s="3"/>
      <c r="J21" s="3"/>
      <c r="K21" s="3"/>
      <c r="L21" s="3"/>
      <c r="M21" s="3"/>
      <c r="N21" s="3"/>
      <c r="O21" s="3"/>
      <c r="P21" s="3"/>
      <c r="Q21" s="3"/>
    </row>
    <row r="22" spans="1:17" ht="60" customHeight="1" x14ac:dyDescent="0.25">
      <c r="A22" s="9">
        <f>IF(F22="","",ROW()-19-COUNTBLANK($F$20:F22))</f>
        <v>2</v>
      </c>
      <c r="B22" s="4" t="s">
        <v>51</v>
      </c>
      <c r="C22" s="4" t="s">
        <v>52</v>
      </c>
      <c r="D22" s="4"/>
      <c r="E22" s="7" t="s">
        <v>3186</v>
      </c>
      <c r="F22" s="7" t="s">
        <v>54</v>
      </c>
      <c r="G22" s="3" t="s">
        <v>55</v>
      </c>
      <c r="H22" s="3"/>
      <c r="I22" s="3"/>
      <c r="J22" s="3"/>
      <c r="K22" s="3"/>
      <c r="L22" s="3"/>
      <c r="M22" s="3"/>
      <c r="N22" s="3"/>
      <c r="O22" s="3"/>
      <c r="P22" s="3"/>
      <c r="Q22" s="3"/>
    </row>
    <row r="23" spans="1:17" ht="60" customHeight="1" x14ac:dyDescent="0.25">
      <c r="A23" s="9">
        <f>IF(F23="","",ROW()-19-COUNTBLANK($F$20:F23))</f>
        <v>3</v>
      </c>
      <c r="B23" s="4" t="s">
        <v>56</v>
      </c>
      <c r="C23" s="4" t="s">
        <v>57</v>
      </c>
      <c r="D23" s="4"/>
      <c r="E23" s="7" t="s">
        <v>3187</v>
      </c>
      <c r="F23" s="7" t="s">
        <v>3188</v>
      </c>
      <c r="G23" s="3" t="s">
        <v>55</v>
      </c>
      <c r="H23" s="3"/>
      <c r="I23" s="3"/>
      <c r="J23" s="3"/>
      <c r="K23" s="3"/>
      <c r="L23" s="3"/>
      <c r="M23" s="3"/>
      <c r="N23" s="3"/>
      <c r="O23" s="3"/>
      <c r="P23" s="3"/>
      <c r="Q23" s="3"/>
    </row>
    <row r="24" spans="1:17" ht="60" customHeight="1" x14ac:dyDescent="0.25">
      <c r="A24" s="9">
        <f>IF(F24="","",ROW()-19-COUNTBLANK($F$20:F24))</f>
        <v>4</v>
      </c>
      <c r="B24" s="4" t="s">
        <v>60</v>
      </c>
      <c r="C24" s="4" t="s">
        <v>61</v>
      </c>
      <c r="D24" s="4"/>
      <c r="E24" s="7" t="s">
        <v>3189</v>
      </c>
      <c r="F24" s="7" t="s">
        <v>63</v>
      </c>
      <c r="G24" s="3" t="s">
        <v>55</v>
      </c>
      <c r="H24" s="3"/>
      <c r="I24" s="3"/>
      <c r="J24" s="3"/>
      <c r="K24" s="3"/>
      <c r="L24" s="3"/>
      <c r="M24" s="3"/>
      <c r="N24" s="3"/>
      <c r="O24" s="3"/>
      <c r="P24" s="3"/>
      <c r="Q24" s="3"/>
    </row>
    <row r="25" spans="1:17" ht="60" customHeight="1" x14ac:dyDescent="0.25">
      <c r="A25" s="9">
        <f>IF(F25="","",ROW()-19-COUNTBLANK($F$20:F25))</f>
        <v>5</v>
      </c>
      <c r="B25" s="4" t="s">
        <v>64</v>
      </c>
      <c r="C25" s="4" t="s">
        <v>65</v>
      </c>
      <c r="D25" s="4"/>
      <c r="E25" s="7" t="s">
        <v>3190</v>
      </c>
      <c r="F25" s="7" t="s">
        <v>2335</v>
      </c>
      <c r="G25" s="3" t="s">
        <v>55</v>
      </c>
      <c r="H25" s="3"/>
      <c r="I25" s="3"/>
      <c r="J25" s="3"/>
      <c r="K25" s="3"/>
      <c r="L25" s="3"/>
      <c r="M25" s="3"/>
      <c r="N25" s="3"/>
      <c r="O25" s="3"/>
      <c r="P25" s="3"/>
      <c r="Q25" s="3"/>
    </row>
    <row r="26" spans="1:17" ht="60" customHeight="1" x14ac:dyDescent="0.25">
      <c r="A26" s="9">
        <f>IF(F26="","",ROW()-19-COUNTBLANK($F$20:F26))</f>
        <v>6</v>
      </c>
      <c r="B26" s="4" t="s">
        <v>68</v>
      </c>
      <c r="C26" s="4" t="s">
        <v>69</v>
      </c>
      <c r="D26" s="4" t="s">
        <v>70</v>
      </c>
      <c r="E26" s="7" t="s">
        <v>3191</v>
      </c>
      <c r="F26" s="7" t="s">
        <v>72</v>
      </c>
      <c r="G26" s="3" t="s">
        <v>73</v>
      </c>
      <c r="H26" s="3"/>
      <c r="I26" s="3"/>
      <c r="J26" s="3"/>
      <c r="K26" s="3"/>
      <c r="L26" s="3"/>
      <c r="M26" s="3"/>
      <c r="N26" s="3"/>
      <c r="O26" s="3"/>
      <c r="P26" s="3"/>
      <c r="Q26" s="3"/>
    </row>
    <row r="27" spans="1:17" ht="60" customHeight="1" x14ac:dyDescent="0.25">
      <c r="A27" s="9">
        <f>IF(F27="","",ROW()-19-COUNTBLANK($F$20:F27))</f>
        <v>7</v>
      </c>
      <c r="B27" s="4" t="s">
        <v>74</v>
      </c>
      <c r="C27" s="4" t="s">
        <v>75</v>
      </c>
      <c r="D27" s="4" t="s">
        <v>76</v>
      </c>
      <c r="E27" s="7" t="s">
        <v>3192</v>
      </c>
      <c r="F27" s="7" t="s">
        <v>78</v>
      </c>
      <c r="G27" s="3" t="s">
        <v>73</v>
      </c>
      <c r="H27" s="3"/>
      <c r="I27" s="3"/>
      <c r="J27" s="3"/>
      <c r="K27" s="3"/>
      <c r="L27" s="3"/>
      <c r="M27" s="3"/>
      <c r="N27" s="3"/>
      <c r="O27" s="3"/>
      <c r="P27" s="3"/>
      <c r="Q27" s="3"/>
    </row>
    <row r="28" spans="1:17" ht="20.100000000000001" customHeight="1" x14ac:dyDescent="0.25">
      <c r="A28" s="9" t="str">
        <f>IF(F28="","",ROW()-19-COUNTBLANK($F$20:F28))</f>
        <v/>
      </c>
      <c r="B28" s="12" t="s">
        <v>91</v>
      </c>
      <c r="C28" s="12"/>
      <c r="D28" s="12"/>
      <c r="E28" s="12"/>
      <c r="F28" s="12"/>
      <c r="G28" s="12"/>
      <c r="H28" s="12"/>
      <c r="I28" s="12"/>
      <c r="J28" s="12"/>
      <c r="K28" s="12"/>
      <c r="L28" s="12"/>
      <c r="M28" s="12"/>
      <c r="N28" s="12"/>
      <c r="O28" s="12"/>
      <c r="P28" s="12"/>
      <c r="Q28" s="12"/>
    </row>
    <row r="29" spans="1:17" ht="60" customHeight="1" x14ac:dyDescent="0.25">
      <c r="A29" s="9">
        <f>IF(F29="","",ROW()-19-COUNTBLANK($F$20:F29))</f>
        <v>8</v>
      </c>
      <c r="B29" s="4" t="s">
        <v>92</v>
      </c>
      <c r="C29" s="4" t="s">
        <v>93</v>
      </c>
      <c r="D29" s="4"/>
      <c r="E29" s="7" t="s">
        <v>3193</v>
      </c>
      <c r="F29" s="7" t="s">
        <v>95</v>
      </c>
      <c r="G29" s="3" t="s">
        <v>73</v>
      </c>
      <c r="H29" s="3"/>
      <c r="I29" s="3"/>
      <c r="J29" s="3"/>
      <c r="K29" s="3"/>
      <c r="L29" s="3"/>
      <c r="M29" s="3"/>
      <c r="N29" s="3"/>
      <c r="O29" s="3"/>
      <c r="P29" s="3"/>
      <c r="Q29" s="3"/>
    </row>
    <row r="30" spans="1:17" ht="60" customHeight="1" x14ac:dyDescent="0.25">
      <c r="A30" s="9">
        <f>IF(F30="","",ROW()-19-COUNTBLANK($F$20:F30))</f>
        <v>9</v>
      </c>
      <c r="B30" s="4" t="s">
        <v>96</v>
      </c>
      <c r="C30" s="4" t="s">
        <v>97</v>
      </c>
      <c r="D30" s="4"/>
      <c r="E30" s="7" t="s">
        <v>3194</v>
      </c>
      <c r="F30" s="7" t="s">
        <v>3195</v>
      </c>
      <c r="G30" s="3" t="s">
        <v>55</v>
      </c>
      <c r="H30" s="3"/>
      <c r="I30" s="3"/>
      <c r="J30" s="3"/>
      <c r="K30" s="3"/>
      <c r="L30" s="3"/>
      <c r="M30" s="3"/>
      <c r="N30" s="3"/>
      <c r="O30" s="3"/>
      <c r="P30" s="3"/>
      <c r="Q30" s="3"/>
    </row>
    <row r="31" spans="1:17" ht="60" customHeight="1" x14ac:dyDescent="0.25">
      <c r="A31" s="9">
        <f>IF(F31="","",ROW()-19-COUNTBLANK($F$20:F31))</f>
        <v>10</v>
      </c>
      <c r="B31" s="4" t="s">
        <v>100</v>
      </c>
      <c r="C31" s="4" t="s">
        <v>101</v>
      </c>
      <c r="D31" s="4"/>
      <c r="E31" s="7" t="s">
        <v>3196</v>
      </c>
      <c r="F31" s="7" t="s">
        <v>103</v>
      </c>
      <c r="G31" s="3" t="s">
        <v>50</v>
      </c>
      <c r="H31" s="3"/>
      <c r="I31" s="3"/>
      <c r="J31" s="3"/>
      <c r="K31" s="3"/>
      <c r="L31" s="3"/>
      <c r="M31" s="3"/>
      <c r="N31" s="3"/>
      <c r="O31" s="3"/>
      <c r="P31" s="3"/>
      <c r="Q31" s="3"/>
    </row>
    <row r="32" spans="1:17" ht="60" customHeight="1" x14ac:dyDescent="0.25">
      <c r="A32" s="9">
        <f>IF(F32="","",ROW()-19-COUNTBLANK($F$20:F32))</f>
        <v>11</v>
      </c>
      <c r="B32" s="4" t="s">
        <v>104</v>
      </c>
      <c r="C32" s="4" t="s">
        <v>105</v>
      </c>
      <c r="D32" s="4" t="s">
        <v>106</v>
      </c>
      <c r="E32" s="7" t="s">
        <v>3197</v>
      </c>
      <c r="F32" s="7" t="s">
        <v>108</v>
      </c>
      <c r="G32" s="3" t="s">
        <v>50</v>
      </c>
      <c r="H32" s="3"/>
      <c r="I32" s="3"/>
      <c r="J32" s="3"/>
      <c r="K32" s="3"/>
      <c r="L32" s="3"/>
      <c r="M32" s="3"/>
      <c r="N32" s="3"/>
      <c r="O32" s="3"/>
      <c r="P32" s="3"/>
      <c r="Q32" s="3"/>
    </row>
    <row r="33" spans="1:17" ht="60" customHeight="1" x14ac:dyDescent="0.25">
      <c r="A33" s="9">
        <f>IF(F33="","",ROW()-19-COUNTBLANK($F$20:F33))</f>
        <v>12</v>
      </c>
      <c r="B33" s="4" t="s">
        <v>109</v>
      </c>
      <c r="C33" s="4" t="s">
        <v>110</v>
      </c>
      <c r="D33" s="4"/>
      <c r="E33" s="7" t="s">
        <v>3198</v>
      </c>
      <c r="F33" s="7" t="s">
        <v>112</v>
      </c>
      <c r="G33" s="3" t="s">
        <v>55</v>
      </c>
      <c r="H33" s="3"/>
      <c r="I33" s="3"/>
      <c r="J33" s="3"/>
      <c r="K33" s="3"/>
      <c r="L33" s="3"/>
      <c r="M33" s="3"/>
      <c r="N33" s="3"/>
      <c r="O33" s="3"/>
      <c r="P33" s="3"/>
      <c r="Q33" s="3"/>
    </row>
    <row r="34" spans="1:17" ht="20.100000000000001" customHeight="1" x14ac:dyDescent="0.25">
      <c r="A34" s="9" t="str">
        <f>IF(F34="","",ROW()-19-COUNTBLANK($F$20:F34))</f>
        <v/>
      </c>
      <c r="B34" s="12" t="s">
        <v>3199</v>
      </c>
      <c r="C34" s="12"/>
      <c r="D34" s="12"/>
      <c r="E34" s="12"/>
      <c r="F34" s="12"/>
      <c r="G34" s="12"/>
      <c r="H34" s="12"/>
      <c r="I34" s="12"/>
      <c r="J34" s="12"/>
      <c r="K34" s="12"/>
      <c r="L34" s="12"/>
      <c r="M34" s="12"/>
      <c r="N34" s="12"/>
      <c r="O34" s="12"/>
      <c r="P34" s="12"/>
      <c r="Q34" s="12"/>
    </row>
    <row r="35" spans="1:17" ht="60" customHeight="1" x14ac:dyDescent="0.25">
      <c r="A35" s="9">
        <f>IF(F35="","",ROW()-19-COUNTBLANK($F$20:F35))</f>
        <v>13</v>
      </c>
      <c r="B35" s="4" t="s">
        <v>85</v>
      </c>
      <c r="C35" s="4" t="s">
        <v>85</v>
      </c>
      <c r="D35" s="4"/>
      <c r="E35" s="7" t="s">
        <v>3200</v>
      </c>
      <c r="F35" s="7" t="s">
        <v>3201</v>
      </c>
      <c r="G35" s="3" t="s">
        <v>73</v>
      </c>
      <c r="H35" s="3"/>
      <c r="I35" s="3"/>
      <c r="J35" s="3"/>
      <c r="K35" s="3"/>
      <c r="L35" s="3"/>
      <c r="M35" s="3"/>
      <c r="N35" s="3"/>
      <c r="O35" s="3"/>
      <c r="P35" s="3"/>
      <c r="Q35" s="3"/>
    </row>
    <row r="36" spans="1:17" ht="60" customHeight="1" x14ac:dyDescent="0.25">
      <c r="A36" s="9">
        <f>IF(F36="","",ROW()-19-COUNTBLANK($F$20:F36))</f>
        <v>14</v>
      </c>
      <c r="B36" s="4" t="s">
        <v>88</v>
      </c>
      <c r="C36" s="4" t="s">
        <v>88</v>
      </c>
      <c r="D36" s="4"/>
      <c r="E36" s="7" t="s">
        <v>3202</v>
      </c>
      <c r="F36" s="7" t="s">
        <v>90</v>
      </c>
      <c r="G36" s="3" t="s">
        <v>73</v>
      </c>
      <c r="H36" s="3"/>
      <c r="I36" s="3"/>
      <c r="J36" s="3"/>
      <c r="K36" s="3"/>
      <c r="L36" s="3"/>
      <c r="M36" s="3"/>
      <c r="N36" s="3"/>
      <c r="O36" s="3"/>
      <c r="P36" s="3"/>
      <c r="Q36" s="3"/>
    </row>
    <row r="37" spans="1:17" ht="20.100000000000001" customHeight="1" x14ac:dyDescent="0.25">
      <c r="A37" s="9" t="str">
        <f>IF(F37="","",ROW()-19-COUNTBLANK($F$20:F37))</f>
        <v/>
      </c>
      <c r="B37" s="12" t="s">
        <v>3203</v>
      </c>
      <c r="C37" s="12"/>
      <c r="D37" s="12"/>
      <c r="E37" s="12"/>
      <c r="F37" s="12"/>
      <c r="G37" s="12"/>
      <c r="H37" s="12"/>
      <c r="I37" s="12"/>
      <c r="J37" s="12"/>
      <c r="K37" s="12"/>
      <c r="L37" s="12"/>
      <c r="M37" s="12"/>
      <c r="N37" s="12"/>
      <c r="O37" s="12"/>
      <c r="P37" s="12"/>
      <c r="Q37" s="12"/>
    </row>
    <row r="38" spans="1:17" ht="60" customHeight="1" x14ac:dyDescent="0.25">
      <c r="A38" s="9">
        <f>IF(F38="","",ROW()-19-COUNTBLANK($F$20:F38))</f>
        <v>15</v>
      </c>
      <c r="B38" s="4" t="s">
        <v>3204</v>
      </c>
      <c r="C38" s="4" t="s">
        <v>3205</v>
      </c>
      <c r="D38" s="4" t="s">
        <v>3206</v>
      </c>
      <c r="E38" s="7" t="s">
        <v>3207</v>
      </c>
      <c r="F38" s="7" t="s">
        <v>3208</v>
      </c>
      <c r="G38" s="3" t="s">
        <v>55</v>
      </c>
      <c r="H38" s="3"/>
      <c r="I38" s="3"/>
      <c r="J38" s="3"/>
      <c r="K38" s="3"/>
      <c r="L38" s="3"/>
      <c r="M38" s="3"/>
      <c r="N38" s="3"/>
      <c r="O38" s="3"/>
      <c r="P38" s="3"/>
      <c r="Q38" s="3"/>
    </row>
    <row r="39" spans="1:17" ht="60" customHeight="1" x14ac:dyDescent="0.25">
      <c r="A39" s="9">
        <f>IF(F39="","",ROW()-19-COUNTBLANK($F$20:F39))</f>
        <v>16</v>
      </c>
      <c r="B39" s="4" t="s">
        <v>3209</v>
      </c>
      <c r="C39" s="4" t="s">
        <v>3210</v>
      </c>
      <c r="D39" s="4"/>
      <c r="E39" s="7" t="s">
        <v>3207</v>
      </c>
      <c r="F39" s="7" t="s">
        <v>3211</v>
      </c>
      <c r="G39" s="3" t="s">
        <v>50</v>
      </c>
      <c r="H39" s="3"/>
      <c r="I39" s="3"/>
      <c r="J39" s="3"/>
      <c r="K39" s="3"/>
      <c r="L39" s="3"/>
      <c r="M39" s="3"/>
      <c r="N39" s="3"/>
      <c r="O39" s="3"/>
      <c r="P39" s="3"/>
      <c r="Q39" s="3"/>
    </row>
    <row r="40" spans="1:17" ht="60" customHeight="1" x14ac:dyDescent="0.25">
      <c r="A40" s="9">
        <f>IF(F40="","",ROW()-19-COUNTBLANK($F$20:F40))</f>
        <v>17</v>
      </c>
      <c r="B40" s="4" t="s">
        <v>3212</v>
      </c>
      <c r="C40" s="4" t="s">
        <v>3213</v>
      </c>
      <c r="D40" s="4" t="s">
        <v>3214</v>
      </c>
      <c r="E40" s="7" t="s">
        <v>3207</v>
      </c>
      <c r="F40" s="7" t="s">
        <v>3215</v>
      </c>
      <c r="G40" s="3" t="s">
        <v>55</v>
      </c>
      <c r="H40" s="3"/>
      <c r="I40" s="3"/>
      <c r="J40" s="3"/>
      <c r="K40" s="3"/>
      <c r="L40" s="3"/>
      <c r="M40" s="3"/>
      <c r="N40" s="3"/>
      <c r="O40" s="3"/>
      <c r="P40" s="3"/>
      <c r="Q40" s="3"/>
    </row>
    <row r="41" spans="1:17" ht="60" customHeight="1" x14ac:dyDescent="0.25">
      <c r="A41" s="9">
        <f>IF(F41="","",ROW()-19-COUNTBLANK($F$20:F41))</f>
        <v>18</v>
      </c>
      <c r="B41" s="4" t="s">
        <v>3216</v>
      </c>
      <c r="C41" s="4" t="s">
        <v>3217</v>
      </c>
      <c r="D41" s="4"/>
      <c r="E41" s="7" t="s">
        <v>3207</v>
      </c>
      <c r="F41" s="7" t="s">
        <v>3218</v>
      </c>
      <c r="G41" s="3" t="s">
        <v>50</v>
      </c>
      <c r="H41" s="3"/>
      <c r="I41" s="3"/>
      <c r="J41" s="3"/>
      <c r="K41" s="3"/>
      <c r="L41" s="3"/>
      <c r="M41" s="3"/>
      <c r="N41" s="3"/>
      <c r="O41" s="3"/>
      <c r="P41" s="3"/>
      <c r="Q41" s="3"/>
    </row>
    <row r="42" spans="1:17" ht="60" customHeight="1" x14ac:dyDescent="0.25">
      <c r="A42" s="9">
        <f>IF(F42="","",ROW()-19-COUNTBLANK($F$20:F42))</f>
        <v>19</v>
      </c>
      <c r="B42" s="4" t="s">
        <v>3219</v>
      </c>
      <c r="C42" s="4" t="s">
        <v>3220</v>
      </c>
      <c r="D42" s="4" t="s">
        <v>3221</v>
      </c>
      <c r="E42" s="7" t="s">
        <v>3222</v>
      </c>
      <c r="F42" s="7" t="s">
        <v>3223</v>
      </c>
      <c r="G42" s="3" t="s">
        <v>55</v>
      </c>
      <c r="H42" s="3"/>
      <c r="I42" s="3"/>
      <c r="J42" s="3"/>
      <c r="K42" s="3"/>
      <c r="L42" s="3"/>
      <c r="M42" s="3"/>
      <c r="N42" s="3"/>
      <c r="O42" s="3"/>
      <c r="P42" s="3"/>
      <c r="Q42" s="3"/>
    </row>
    <row r="43" spans="1:17" ht="60" customHeight="1" x14ac:dyDescent="0.25">
      <c r="A43" s="9">
        <f>IF(F43="","",ROW()-19-COUNTBLANK($F$20:F43))</f>
        <v>20</v>
      </c>
      <c r="B43" s="4" t="s">
        <v>3224</v>
      </c>
      <c r="C43" s="4" t="s">
        <v>3225</v>
      </c>
      <c r="D43" s="4"/>
      <c r="E43" s="7" t="s">
        <v>3226</v>
      </c>
      <c r="F43" s="7" t="s">
        <v>3227</v>
      </c>
      <c r="G43" s="3" t="s">
        <v>50</v>
      </c>
      <c r="H43" s="3"/>
      <c r="I43" s="3"/>
      <c r="J43" s="3"/>
      <c r="K43" s="3"/>
      <c r="L43" s="3"/>
      <c r="M43" s="3"/>
      <c r="N43" s="3"/>
      <c r="O43" s="3"/>
      <c r="P43" s="3"/>
      <c r="Q43" s="3"/>
    </row>
    <row r="44" spans="1:17" ht="20.100000000000001" customHeight="1" x14ac:dyDescent="0.25">
      <c r="A44" s="9" t="str">
        <f>IF(F44="","",ROW()-19-COUNTBLANK($F$20:F44))</f>
        <v/>
      </c>
      <c r="B44" s="12" t="s">
        <v>3228</v>
      </c>
      <c r="C44" s="12"/>
      <c r="D44" s="12"/>
      <c r="E44" s="12"/>
      <c r="F44" s="12"/>
      <c r="G44" s="12"/>
      <c r="H44" s="12"/>
      <c r="I44" s="12"/>
      <c r="J44" s="12"/>
      <c r="K44" s="12"/>
      <c r="L44" s="12"/>
      <c r="M44" s="12"/>
      <c r="N44" s="12"/>
      <c r="O44" s="12"/>
      <c r="P44" s="12"/>
      <c r="Q44" s="12"/>
    </row>
    <row r="45" spans="1:17" ht="60" customHeight="1" x14ac:dyDescent="0.25">
      <c r="A45" s="9">
        <f>IF(F45="","",ROW()-19-COUNTBLANK($F$20:F45))</f>
        <v>21</v>
      </c>
      <c r="B45" s="4" t="s">
        <v>216</v>
      </c>
      <c r="C45" s="4" t="s">
        <v>3229</v>
      </c>
      <c r="D45" s="4"/>
      <c r="E45" s="7" t="s">
        <v>3230</v>
      </c>
      <c r="F45" s="7" t="s">
        <v>885</v>
      </c>
      <c r="G45" s="3" t="s">
        <v>55</v>
      </c>
      <c r="H45" s="3"/>
      <c r="I45" s="3"/>
      <c r="J45" s="3"/>
      <c r="K45" s="3"/>
      <c r="L45" s="3"/>
      <c r="M45" s="3"/>
      <c r="N45" s="3"/>
      <c r="O45" s="3"/>
      <c r="P45" s="3"/>
      <c r="Q45" s="3"/>
    </row>
    <row r="46" spans="1:17" ht="60" customHeight="1" x14ac:dyDescent="0.25">
      <c r="A46" s="9">
        <f>IF(F46="","",ROW()-19-COUNTBLANK($F$20:F46))</f>
        <v>22</v>
      </c>
      <c r="B46" s="4" t="s">
        <v>132</v>
      </c>
      <c r="C46" s="4" t="s">
        <v>886</v>
      </c>
      <c r="D46" s="4"/>
      <c r="E46" s="7" t="s">
        <v>3230</v>
      </c>
      <c r="F46" s="7" t="s">
        <v>3231</v>
      </c>
      <c r="G46" s="3" t="s">
        <v>55</v>
      </c>
      <c r="H46" s="3"/>
      <c r="I46" s="3"/>
      <c r="J46" s="3"/>
      <c r="K46" s="3"/>
      <c r="L46" s="3"/>
      <c r="M46" s="3"/>
      <c r="N46" s="3"/>
      <c r="O46" s="3"/>
      <c r="P46" s="3"/>
      <c r="Q46" s="3"/>
    </row>
    <row r="47" spans="1:17" ht="60" customHeight="1" x14ac:dyDescent="0.25">
      <c r="A47" s="9">
        <f>IF(F47="","",ROW()-19-COUNTBLANK($F$20:F47))</f>
        <v>23</v>
      </c>
      <c r="B47" s="4" t="s">
        <v>888</v>
      </c>
      <c r="C47" s="4" t="s">
        <v>889</v>
      </c>
      <c r="D47" s="4"/>
      <c r="E47" s="7" t="s">
        <v>3232</v>
      </c>
      <c r="F47" s="7" t="s">
        <v>3233</v>
      </c>
      <c r="G47" s="3" t="s">
        <v>50</v>
      </c>
      <c r="H47" s="3"/>
      <c r="I47" s="3"/>
      <c r="J47" s="3"/>
      <c r="K47" s="3"/>
      <c r="L47" s="3"/>
      <c r="M47" s="3"/>
      <c r="N47" s="3"/>
      <c r="O47" s="3"/>
      <c r="P47" s="3"/>
      <c r="Q47" s="3"/>
    </row>
    <row r="48" spans="1:17" ht="60" customHeight="1" x14ac:dyDescent="0.25">
      <c r="A48" s="9">
        <f>IF(F48="","",ROW()-19-COUNTBLANK($F$20:F48))</f>
        <v>24</v>
      </c>
      <c r="B48" s="4" t="s">
        <v>892</v>
      </c>
      <c r="C48" s="4" t="s">
        <v>893</v>
      </c>
      <c r="D48" s="4"/>
      <c r="E48" s="7" t="s">
        <v>3234</v>
      </c>
      <c r="F48" s="7" t="s">
        <v>3235</v>
      </c>
      <c r="G48" s="3" t="s">
        <v>50</v>
      </c>
      <c r="H48" s="3"/>
      <c r="I48" s="3"/>
      <c r="J48" s="3"/>
      <c r="K48" s="3"/>
      <c r="L48" s="3"/>
      <c r="M48" s="3"/>
      <c r="N48" s="3"/>
      <c r="O48" s="3"/>
      <c r="P48" s="3"/>
      <c r="Q48" s="3"/>
    </row>
    <row r="49" spans="1:17" ht="60" customHeight="1" x14ac:dyDescent="0.25">
      <c r="A49" s="9">
        <f>IF(F49="","",ROW()-19-COUNTBLANK($F$20:F49))</f>
        <v>25</v>
      </c>
      <c r="B49" s="4" t="s">
        <v>896</v>
      </c>
      <c r="C49" s="4" t="s">
        <v>897</v>
      </c>
      <c r="D49" s="4"/>
      <c r="E49" s="7" t="s">
        <v>3236</v>
      </c>
      <c r="F49" s="7" t="s">
        <v>899</v>
      </c>
      <c r="G49" s="3" t="s">
        <v>73</v>
      </c>
      <c r="H49" s="3"/>
      <c r="I49" s="3"/>
      <c r="J49" s="3"/>
      <c r="K49" s="3"/>
      <c r="L49" s="3"/>
      <c r="M49" s="3"/>
      <c r="N49" s="3"/>
      <c r="O49" s="3"/>
      <c r="P49" s="3"/>
      <c r="Q49" s="3"/>
    </row>
    <row r="50" spans="1:17" ht="60" customHeight="1" x14ac:dyDescent="0.25">
      <c r="A50" s="9">
        <f>IF(F50="","",ROW()-19-COUNTBLANK($F$20:F50))</f>
        <v>26</v>
      </c>
      <c r="B50" s="4" t="s">
        <v>3237</v>
      </c>
      <c r="C50" s="4" t="s">
        <v>3238</v>
      </c>
      <c r="D50" s="4" t="s">
        <v>3239</v>
      </c>
      <c r="E50" s="7" t="s">
        <v>3240</v>
      </c>
      <c r="F50" s="7" t="s">
        <v>3241</v>
      </c>
      <c r="G50" s="3" t="s">
        <v>50</v>
      </c>
      <c r="H50" s="3"/>
      <c r="I50" s="3"/>
      <c r="J50" s="3"/>
      <c r="K50" s="3"/>
      <c r="L50" s="3"/>
      <c r="M50" s="3"/>
      <c r="N50" s="3"/>
      <c r="O50" s="3"/>
      <c r="P50" s="3"/>
      <c r="Q50" s="3"/>
    </row>
    <row r="51" spans="1:17" ht="20.100000000000001" customHeight="1" x14ac:dyDescent="0.25">
      <c r="A51" s="9" t="str">
        <f>IF(F51="","",ROW()-19-COUNTBLANK($F$20:F51))</f>
        <v/>
      </c>
      <c r="B51" s="12" t="s">
        <v>2348</v>
      </c>
      <c r="C51" s="12"/>
      <c r="D51" s="12"/>
      <c r="E51" s="12"/>
      <c r="F51" s="12"/>
      <c r="G51" s="12"/>
      <c r="H51" s="12"/>
      <c r="I51" s="12"/>
      <c r="J51" s="12"/>
      <c r="K51" s="12"/>
      <c r="L51" s="12"/>
      <c r="M51" s="12"/>
      <c r="N51" s="12"/>
      <c r="O51" s="12"/>
      <c r="P51" s="12"/>
      <c r="Q51" s="12"/>
    </row>
    <row r="52" spans="1:17" ht="60" customHeight="1" x14ac:dyDescent="0.25">
      <c r="A52" s="9">
        <f>IF(F52="","",ROW()-19-COUNTBLANK($F$20:F52))</f>
        <v>27</v>
      </c>
      <c r="B52" s="4" t="s">
        <v>2349</v>
      </c>
      <c r="C52" s="4" t="s">
        <v>1610</v>
      </c>
      <c r="D52" s="4"/>
      <c r="E52" s="7" t="s">
        <v>3242</v>
      </c>
      <c r="F52" s="7" t="s">
        <v>2351</v>
      </c>
      <c r="G52" s="3" t="s">
        <v>55</v>
      </c>
      <c r="H52" s="3"/>
      <c r="I52" s="3"/>
      <c r="J52" s="3"/>
      <c r="K52" s="3"/>
      <c r="L52" s="3"/>
      <c r="M52" s="3"/>
      <c r="N52" s="3"/>
      <c r="O52" s="3"/>
      <c r="P52" s="3"/>
      <c r="Q52" s="3"/>
    </row>
    <row r="53" spans="1:17" ht="60" customHeight="1" x14ac:dyDescent="0.25">
      <c r="A53" s="9">
        <f>IF(F53="","",ROW()-19-COUNTBLANK($F$20:F53))</f>
        <v>28</v>
      </c>
      <c r="B53" s="4" t="s">
        <v>2352</v>
      </c>
      <c r="C53" s="4" t="s">
        <v>1618</v>
      </c>
      <c r="D53" s="4"/>
      <c r="E53" s="7" t="s">
        <v>3243</v>
      </c>
      <c r="F53" s="7" t="s">
        <v>2354</v>
      </c>
      <c r="G53" s="3" t="s">
        <v>55</v>
      </c>
      <c r="H53" s="3"/>
      <c r="I53" s="3"/>
      <c r="J53" s="3"/>
      <c r="K53" s="3"/>
      <c r="L53" s="3"/>
      <c r="M53" s="3"/>
      <c r="N53" s="3"/>
      <c r="O53" s="3"/>
      <c r="P53" s="3"/>
      <c r="Q53" s="3"/>
    </row>
    <row r="54" spans="1:17" ht="60" customHeight="1" x14ac:dyDescent="0.25">
      <c r="A54" s="9">
        <f>IF(F54="","",ROW()-19-COUNTBLANK($F$20:F54))</f>
        <v>29</v>
      </c>
      <c r="B54" s="4" t="s">
        <v>2355</v>
      </c>
      <c r="C54" s="4" t="s">
        <v>1622</v>
      </c>
      <c r="D54" s="4"/>
      <c r="E54" s="7" t="s">
        <v>3244</v>
      </c>
      <c r="F54" s="7" t="s">
        <v>2357</v>
      </c>
      <c r="G54" s="3" t="s">
        <v>55</v>
      </c>
      <c r="H54" s="3"/>
      <c r="I54" s="3"/>
      <c r="J54" s="3"/>
      <c r="K54" s="3"/>
      <c r="L54" s="3"/>
      <c r="M54" s="3"/>
      <c r="N54" s="3"/>
      <c r="O54" s="3"/>
      <c r="P54" s="3"/>
      <c r="Q54" s="3"/>
    </row>
    <row r="55" spans="1:17" ht="60" customHeight="1" x14ac:dyDescent="0.25">
      <c r="A55" s="9">
        <f>IF(F55="","",ROW()-19-COUNTBLANK($F$20:F55))</f>
        <v>30</v>
      </c>
      <c r="B55" s="4" t="s">
        <v>2358</v>
      </c>
      <c r="C55" s="4" t="s">
        <v>1614</v>
      </c>
      <c r="D55" s="4"/>
      <c r="E55" s="7" t="s">
        <v>3245</v>
      </c>
      <c r="F55" s="7" t="s">
        <v>2360</v>
      </c>
      <c r="G55" s="3" t="s">
        <v>55</v>
      </c>
      <c r="H55" s="3"/>
      <c r="I55" s="3"/>
      <c r="J55" s="3"/>
      <c r="K55" s="3"/>
      <c r="L55" s="3"/>
      <c r="M55" s="3"/>
      <c r="N55" s="3"/>
      <c r="O55" s="3"/>
      <c r="P55" s="3"/>
      <c r="Q55" s="3"/>
    </row>
    <row r="56" spans="1:17" ht="60" customHeight="1" x14ac:dyDescent="0.25">
      <c r="A56" s="9">
        <f>IF(F56="","",ROW()-19-COUNTBLANK($F$20:F56))</f>
        <v>31</v>
      </c>
      <c r="B56" s="4" t="s">
        <v>2361</v>
      </c>
      <c r="C56" s="4" t="s">
        <v>2362</v>
      </c>
      <c r="D56" s="4"/>
      <c r="E56" s="7" t="s">
        <v>3246</v>
      </c>
      <c r="F56" s="7" t="s">
        <v>2364</v>
      </c>
      <c r="G56" s="3" t="s">
        <v>55</v>
      </c>
      <c r="H56" s="3"/>
      <c r="I56" s="3"/>
      <c r="J56" s="3"/>
      <c r="K56" s="3"/>
      <c r="L56" s="3"/>
      <c r="M56" s="3"/>
      <c r="N56" s="3"/>
      <c r="O56" s="3"/>
      <c r="P56" s="3"/>
      <c r="Q56" s="3"/>
    </row>
    <row r="57" spans="1:17" ht="60" customHeight="1" x14ac:dyDescent="0.25">
      <c r="A57" s="9">
        <f>IF(F57="","",ROW()-19-COUNTBLANK($F$20:F57))</f>
        <v>32</v>
      </c>
      <c r="B57" s="4" t="s">
        <v>2365</v>
      </c>
      <c r="C57" s="4" t="s">
        <v>2366</v>
      </c>
      <c r="D57" s="4"/>
      <c r="E57" s="7" t="s">
        <v>3247</v>
      </c>
      <c r="F57" s="7" t="s">
        <v>2368</v>
      </c>
      <c r="G57" s="3" t="s">
        <v>55</v>
      </c>
      <c r="H57" s="3"/>
      <c r="I57" s="3"/>
      <c r="J57" s="3"/>
      <c r="K57" s="3"/>
      <c r="L57" s="3"/>
      <c r="M57" s="3"/>
      <c r="N57" s="3"/>
      <c r="O57" s="3"/>
      <c r="P57" s="3"/>
      <c r="Q57" s="3"/>
    </row>
    <row r="58" spans="1:17" ht="20.100000000000001" customHeight="1" x14ac:dyDescent="0.25">
      <c r="A58" s="9" t="str">
        <f>IF(F58="","",ROW()-19-COUNTBLANK($F$20:F58))</f>
        <v/>
      </c>
      <c r="B58" s="12" t="s">
        <v>2369</v>
      </c>
      <c r="C58" s="12"/>
      <c r="D58" s="12"/>
      <c r="E58" s="12"/>
      <c r="F58" s="12"/>
      <c r="G58" s="12"/>
      <c r="H58" s="12"/>
      <c r="I58" s="12"/>
      <c r="J58" s="12"/>
      <c r="K58" s="12"/>
      <c r="L58" s="12"/>
      <c r="M58" s="12"/>
      <c r="N58" s="12"/>
      <c r="O58" s="12"/>
      <c r="P58" s="12"/>
      <c r="Q58" s="12"/>
    </row>
    <row r="59" spans="1:17" ht="60" customHeight="1" x14ac:dyDescent="0.25">
      <c r="A59" s="9">
        <f>IF(F59="","",ROW()-19-COUNTBLANK($F$20:F59))</f>
        <v>33</v>
      </c>
      <c r="B59" s="4" t="s">
        <v>2370</v>
      </c>
      <c r="C59" s="4" t="s">
        <v>2371</v>
      </c>
      <c r="D59" s="4"/>
      <c r="E59" s="7" t="s">
        <v>3248</v>
      </c>
      <c r="F59" s="7" t="s">
        <v>3249</v>
      </c>
      <c r="G59" s="3" t="s">
        <v>50</v>
      </c>
      <c r="H59" s="3"/>
      <c r="I59" s="3"/>
      <c r="J59" s="3"/>
      <c r="K59" s="3"/>
      <c r="L59" s="3"/>
      <c r="M59" s="3"/>
      <c r="N59" s="3"/>
      <c r="O59" s="3"/>
      <c r="P59" s="3"/>
      <c r="Q59" s="3"/>
    </row>
    <row r="60" spans="1:17" ht="60" customHeight="1" x14ac:dyDescent="0.25">
      <c r="A60" s="9">
        <f>IF(F60="","",ROW()-19-COUNTBLANK($F$20:F60))</f>
        <v>34</v>
      </c>
      <c r="B60" s="4" t="s">
        <v>2374</v>
      </c>
      <c r="C60" s="4" t="s">
        <v>2375</v>
      </c>
      <c r="D60" s="4"/>
      <c r="E60" s="7" t="s">
        <v>3207</v>
      </c>
      <c r="F60" s="7" t="s">
        <v>2377</v>
      </c>
      <c r="G60" s="3" t="s">
        <v>55</v>
      </c>
      <c r="H60" s="3"/>
      <c r="I60" s="3"/>
      <c r="J60" s="3"/>
      <c r="K60" s="3"/>
      <c r="L60" s="3"/>
      <c r="M60" s="3"/>
      <c r="N60" s="3"/>
      <c r="O60" s="3"/>
      <c r="P60" s="3"/>
      <c r="Q60" s="3"/>
    </row>
    <row r="61" spans="1:17" ht="60" customHeight="1" x14ac:dyDescent="0.25">
      <c r="A61" s="9">
        <f>IF(F61="","",ROW()-19-COUNTBLANK($F$20:F61))</f>
        <v>35</v>
      </c>
      <c r="B61" s="4" t="s">
        <v>2378</v>
      </c>
      <c r="C61" s="4" t="s">
        <v>2379</v>
      </c>
      <c r="D61" s="4" t="s">
        <v>2380</v>
      </c>
      <c r="E61" s="7" t="s">
        <v>3207</v>
      </c>
      <c r="F61" s="7" t="s">
        <v>2381</v>
      </c>
      <c r="G61" s="3" t="s">
        <v>55</v>
      </c>
      <c r="H61" s="3"/>
      <c r="I61" s="3"/>
      <c r="J61" s="3"/>
      <c r="K61" s="3"/>
      <c r="L61" s="3"/>
      <c r="M61" s="3"/>
      <c r="N61" s="3"/>
      <c r="O61" s="3"/>
      <c r="P61" s="3"/>
      <c r="Q61" s="3"/>
    </row>
    <row r="62" spans="1:17" ht="60" customHeight="1" x14ac:dyDescent="0.25">
      <c r="A62" s="9">
        <f>IF(F62="","",ROW()-19-COUNTBLANK($F$20:F62))</f>
        <v>36</v>
      </c>
      <c r="B62" s="4" t="s">
        <v>2382</v>
      </c>
      <c r="C62" s="4" t="s">
        <v>2383</v>
      </c>
      <c r="D62" s="4" t="s">
        <v>2384</v>
      </c>
      <c r="E62" s="7" t="s">
        <v>3250</v>
      </c>
      <c r="F62" s="7" t="s">
        <v>2386</v>
      </c>
      <c r="G62" s="3" t="s">
        <v>55</v>
      </c>
      <c r="H62" s="3"/>
      <c r="I62" s="3"/>
      <c r="J62" s="3"/>
      <c r="K62" s="3"/>
      <c r="L62" s="3"/>
      <c r="M62" s="3"/>
      <c r="N62" s="3"/>
      <c r="O62" s="3"/>
      <c r="P62" s="3"/>
      <c r="Q62" s="3"/>
    </row>
    <row r="63" spans="1:17" ht="60" customHeight="1" x14ac:dyDescent="0.25">
      <c r="A63" s="9">
        <f>IF(F63="","",ROW()-19-COUNTBLANK($F$20:F63))</f>
        <v>37</v>
      </c>
      <c r="B63" s="4" t="s">
        <v>2387</v>
      </c>
      <c r="C63" s="4" t="s">
        <v>2388</v>
      </c>
      <c r="D63" s="4"/>
      <c r="E63" s="7" t="s">
        <v>3207</v>
      </c>
      <c r="F63" s="7" t="s">
        <v>2389</v>
      </c>
      <c r="G63" s="3" t="s">
        <v>73</v>
      </c>
      <c r="H63" s="3"/>
      <c r="I63" s="3"/>
      <c r="J63" s="3"/>
      <c r="K63" s="3"/>
      <c r="L63" s="3"/>
      <c r="M63" s="3"/>
      <c r="N63" s="3"/>
      <c r="O63" s="3"/>
      <c r="P63" s="3"/>
      <c r="Q63" s="3"/>
    </row>
    <row r="64" spans="1:17" ht="20.100000000000001" customHeight="1" x14ac:dyDescent="0.25">
      <c r="A64" s="9" t="str">
        <f>IF(F64="","",ROW()-19-COUNTBLANK($F$20:F64))</f>
        <v/>
      </c>
      <c r="B64" s="12" t="s">
        <v>2390</v>
      </c>
      <c r="C64" s="12"/>
      <c r="D64" s="12"/>
      <c r="E64" s="12"/>
      <c r="F64" s="12"/>
      <c r="G64" s="12"/>
      <c r="H64" s="12"/>
      <c r="I64" s="12"/>
      <c r="J64" s="12"/>
      <c r="K64" s="12"/>
      <c r="L64" s="12"/>
      <c r="M64" s="12"/>
      <c r="N64" s="12"/>
      <c r="O64" s="12"/>
      <c r="P64" s="12"/>
      <c r="Q64" s="12"/>
    </row>
    <row r="65" spans="1:17" ht="60" customHeight="1" x14ac:dyDescent="0.25">
      <c r="A65" s="9">
        <f>IF(F65="","",ROW()-19-COUNTBLANK($F$20:F65))</f>
        <v>38</v>
      </c>
      <c r="B65" s="4" t="s">
        <v>2391</v>
      </c>
      <c r="C65" s="4" t="s">
        <v>2392</v>
      </c>
      <c r="D65" s="4" t="s">
        <v>2393</v>
      </c>
      <c r="E65" s="7" t="s">
        <v>3207</v>
      </c>
      <c r="F65" s="7" t="s">
        <v>2394</v>
      </c>
      <c r="G65" s="3" t="s">
        <v>50</v>
      </c>
      <c r="H65" s="3"/>
      <c r="I65" s="3"/>
      <c r="J65" s="3"/>
      <c r="K65" s="3"/>
      <c r="L65" s="3"/>
      <c r="M65" s="3"/>
      <c r="N65" s="3"/>
      <c r="O65" s="3"/>
      <c r="P65" s="3"/>
      <c r="Q65" s="3"/>
    </row>
    <row r="66" spans="1:17" ht="20.100000000000001" customHeight="1" x14ac:dyDescent="0.25">
      <c r="A66" s="9" t="str">
        <f>IF(F66="","",ROW()-19-COUNTBLANK($F$20:F66))</f>
        <v/>
      </c>
      <c r="B66" s="12" t="s">
        <v>2395</v>
      </c>
      <c r="C66" s="12"/>
      <c r="D66" s="12"/>
      <c r="E66" s="12"/>
      <c r="F66" s="12"/>
      <c r="G66" s="12"/>
      <c r="H66" s="12"/>
      <c r="I66" s="12"/>
      <c r="J66" s="12"/>
      <c r="K66" s="12"/>
      <c r="L66" s="12"/>
      <c r="M66" s="12"/>
      <c r="N66" s="12"/>
      <c r="O66" s="12"/>
      <c r="P66" s="12"/>
      <c r="Q66" s="12"/>
    </row>
    <row r="67" spans="1:17" ht="60" customHeight="1" x14ac:dyDescent="0.25">
      <c r="A67" s="9">
        <f>IF(F67="","",ROW()-19-COUNTBLANK($F$20:F67))</f>
        <v>39</v>
      </c>
      <c r="B67" s="4" t="s">
        <v>216</v>
      </c>
      <c r="C67" s="4" t="s">
        <v>2396</v>
      </c>
      <c r="D67" s="4"/>
      <c r="E67" s="7" t="s">
        <v>3251</v>
      </c>
      <c r="F67" s="7" t="s">
        <v>885</v>
      </c>
      <c r="G67" s="3" t="s">
        <v>55</v>
      </c>
      <c r="H67" s="3"/>
      <c r="I67" s="3"/>
      <c r="J67" s="3"/>
      <c r="K67" s="3"/>
      <c r="L67" s="3"/>
      <c r="M67" s="3"/>
      <c r="N67" s="3"/>
      <c r="O67" s="3"/>
      <c r="P67" s="3"/>
      <c r="Q67" s="3"/>
    </row>
    <row r="68" spans="1:17" ht="60" customHeight="1" x14ac:dyDescent="0.25">
      <c r="A68" s="9">
        <f>IF(F68="","",ROW()-19-COUNTBLANK($F$20:F68))</f>
        <v>40</v>
      </c>
      <c r="B68" s="4" t="s">
        <v>132</v>
      </c>
      <c r="C68" s="4" t="s">
        <v>886</v>
      </c>
      <c r="D68" s="4"/>
      <c r="E68" s="7" t="s">
        <v>3251</v>
      </c>
      <c r="F68" s="7" t="s">
        <v>3252</v>
      </c>
      <c r="G68" s="3" t="s">
        <v>55</v>
      </c>
      <c r="H68" s="3"/>
      <c r="I68" s="3"/>
      <c r="J68" s="3"/>
      <c r="K68" s="3"/>
      <c r="L68" s="3"/>
      <c r="M68" s="3"/>
      <c r="N68" s="3"/>
      <c r="O68" s="3"/>
      <c r="P68" s="3"/>
      <c r="Q68" s="3"/>
    </row>
    <row r="69" spans="1:17" ht="60" customHeight="1" x14ac:dyDescent="0.25">
      <c r="A69" s="9">
        <f>IF(F69="","",ROW()-19-COUNTBLANK($F$20:F69))</f>
        <v>41</v>
      </c>
      <c r="B69" s="4" t="s">
        <v>888</v>
      </c>
      <c r="C69" s="4" t="s">
        <v>889</v>
      </c>
      <c r="D69" s="4"/>
      <c r="E69" s="7" t="s">
        <v>3253</v>
      </c>
      <c r="F69" s="7" t="s">
        <v>2400</v>
      </c>
      <c r="G69" s="3" t="s">
        <v>50</v>
      </c>
      <c r="H69" s="3"/>
      <c r="I69" s="3"/>
      <c r="J69" s="3"/>
      <c r="K69" s="3"/>
      <c r="L69" s="3"/>
      <c r="M69" s="3"/>
      <c r="N69" s="3"/>
      <c r="O69" s="3"/>
      <c r="P69" s="3"/>
      <c r="Q69" s="3"/>
    </row>
    <row r="70" spans="1:17" ht="60" customHeight="1" x14ac:dyDescent="0.25">
      <c r="A70" s="9">
        <f>IF(F70="","",ROW()-19-COUNTBLANK($F$20:F70))</f>
        <v>42</v>
      </c>
      <c r="B70" s="4" t="s">
        <v>892</v>
      </c>
      <c r="C70" s="4" t="s">
        <v>893</v>
      </c>
      <c r="D70" s="4"/>
      <c r="E70" s="7" t="s">
        <v>3254</v>
      </c>
      <c r="F70" s="7" t="s">
        <v>2402</v>
      </c>
      <c r="G70" s="3" t="s">
        <v>50</v>
      </c>
      <c r="H70" s="3"/>
      <c r="I70" s="3"/>
      <c r="J70" s="3"/>
      <c r="K70" s="3"/>
      <c r="L70" s="3"/>
      <c r="M70" s="3"/>
      <c r="N70" s="3"/>
      <c r="O70" s="3"/>
      <c r="P70" s="3"/>
      <c r="Q70" s="3"/>
    </row>
    <row r="71" spans="1:17" ht="60" customHeight="1" x14ac:dyDescent="0.25">
      <c r="A71" s="9">
        <f>IF(F71="","",ROW()-19-COUNTBLANK($F$20:F71))</f>
        <v>43</v>
      </c>
      <c r="B71" s="4" t="s">
        <v>896</v>
      </c>
      <c r="C71" s="4" t="s">
        <v>897</v>
      </c>
      <c r="D71" s="4"/>
      <c r="E71" s="7" t="s">
        <v>3255</v>
      </c>
      <c r="F71" s="7" t="s">
        <v>899</v>
      </c>
      <c r="G71" s="3" t="s">
        <v>73</v>
      </c>
      <c r="H71" s="3"/>
      <c r="I71" s="3"/>
      <c r="J71" s="3"/>
      <c r="K71" s="3"/>
      <c r="L71" s="3"/>
      <c r="M71" s="3"/>
      <c r="N71" s="3"/>
      <c r="O71" s="3"/>
      <c r="P71" s="3"/>
      <c r="Q71" s="3"/>
    </row>
    <row r="72" spans="1:17" ht="60" customHeight="1" x14ac:dyDescent="0.25">
      <c r="A72" s="9">
        <f>IF(F72="","",ROW()-19-COUNTBLANK($F$20:F72))</f>
        <v>44</v>
      </c>
      <c r="B72" s="4" t="s">
        <v>2404</v>
      </c>
      <c r="C72" s="4" t="s">
        <v>2405</v>
      </c>
      <c r="D72" s="4" t="s">
        <v>2406</v>
      </c>
      <c r="E72" s="7" t="s">
        <v>3256</v>
      </c>
      <c r="F72" s="7" t="s">
        <v>2408</v>
      </c>
      <c r="G72" s="3" t="s">
        <v>55</v>
      </c>
      <c r="H72" s="3"/>
      <c r="I72" s="3"/>
      <c r="J72" s="3"/>
      <c r="K72" s="3"/>
      <c r="L72" s="3"/>
      <c r="M72" s="3"/>
      <c r="N72" s="3"/>
      <c r="O72" s="3"/>
      <c r="P72" s="3"/>
      <c r="Q72" s="3"/>
    </row>
    <row r="73" spans="1:17" ht="20.100000000000001" customHeight="1" x14ac:dyDescent="0.25">
      <c r="A73" s="9" t="str">
        <f>IF(F73="","",ROW()-19-COUNTBLANK($F$20:F73))</f>
        <v/>
      </c>
      <c r="B73" s="12" t="s">
        <v>2409</v>
      </c>
      <c r="C73" s="12"/>
      <c r="D73" s="12"/>
      <c r="E73" s="12"/>
      <c r="F73" s="12"/>
      <c r="G73" s="12"/>
      <c r="H73" s="12"/>
      <c r="I73" s="12"/>
      <c r="J73" s="12"/>
      <c r="K73" s="12"/>
      <c r="L73" s="12"/>
      <c r="M73" s="12"/>
      <c r="N73" s="12"/>
      <c r="O73" s="12"/>
      <c r="P73" s="12"/>
      <c r="Q73" s="12"/>
    </row>
    <row r="74" spans="1:17" ht="60" customHeight="1" x14ac:dyDescent="0.25">
      <c r="A74" s="9">
        <f>IF(F74="","",ROW()-19-COUNTBLANK($F$20:F74))</f>
        <v>45</v>
      </c>
      <c r="B74" s="4" t="s">
        <v>216</v>
      </c>
      <c r="C74" s="4" t="s">
        <v>2410</v>
      </c>
      <c r="D74" s="4"/>
      <c r="E74" s="7" t="s">
        <v>3257</v>
      </c>
      <c r="F74" s="7" t="s">
        <v>461</v>
      </c>
      <c r="G74" s="3" t="s">
        <v>55</v>
      </c>
      <c r="H74" s="3"/>
      <c r="I74" s="3"/>
      <c r="J74" s="3"/>
      <c r="K74" s="3"/>
      <c r="L74" s="3"/>
      <c r="M74" s="3"/>
      <c r="N74" s="3"/>
      <c r="O74" s="3"/>
      <c r="P74" s="3"/>
      <c r="Q74" s="3"/>
    </row>
    <row r="75" spans="1:17" ht="60" customHeight="1" x14ac:dyDescent="0.25">
      <c r="A75" s="9">
        <f>IF(F75="","",ROW()-19-COUNTBLANK($F$20:F75))</f>
        <v>46</v>
      </c>
      <c r="B75" s="4" t="s">
        <v>132</v>
      </c>
      <c r="C75" s="4" t="s">
        <v>462</v>
      </c>
      <c r="D75" s="4"/>
      <c r="E75" s="7" t="s">
        <v>3258</v>
      </c>
      <c r="F75" s="7" t="s">
        <v>2413</v>
      </c>
      <c r="G75" s="3" t="s">
        <v>50</v>
      </c>
      <c r="H75" s="3"/>
      <c r="I75" s="3"/>
      <c r="J75" s="3"/>
      <c r="K75" s="3"/>
      <c r="L75" s="3"/>
      <c r="M75" s="3"/>
      <c r="N75" s="3"/>
      <c r="O75" s="3"/>
      <c r="P75" s="3"/>
      <c r="Q75" s="3"/>
    </row>
    <row r="76" spans="1:17" ht="60" customHeight="1" x14ac:dyDescent="0.25">
      <c r="A76" s="9">
        <f>IF(F76="","",ROW()-19-COUNTBLANK($F$20:F76))</f>
        <v>47</v>
      </c>
      <c r="B76" s="4" t="s">
        <v>465</v>
      </c>
      <c r="C76" s="4" t="s">
        <v>466</v>
      </c>
      <c r="D76" s="4"/>
      <c r="E76" s="7" t="s">
        <v>3259</v>
      </c>
      <c r="F76" s="7" t="s">
        <v>2415</v>
      </c>
      <c r="G76" s="3" t="s">
        <v>73</v>
      </c>
      <c r="H76" s="3"/>
      <c r="I76" s="3"/>
      <c r="J76" s="3"/>
      <c r="K76" s="3"/>
      <c r="L76" s="3"/>
      <c r="M76" s="3"/>
      <c r="N76" s="3"/>
      <c r="O76" s="3"/>
      <c r="P76" s="3"/>
      <c r="Q76" s="3"/>
    </row>
    <row r="77" spans="1:17" ht="60" customHeight="1" x14ac:dyDescent="0.25">
      <c r="A77" s="9">
        <f>IF(F77="","",ROW()-19-COUNTBLANK($F$20:F77))</f>
        <v>48</v>
      </c>
      <c r="B77" s="4" t="s">
        <v>469</v>
      </c>
      <c r="C77" s="4" t="s">
        <v>470</v>
      </c>
      <c r="D77" s="4"/>
      <c r="E77" s="7" t="s">
        <v>3260</v>
      </c>
      <c r="F77" s="7" t="s">
        <v>2417</v>
      </c>
      <c r="G77" s="3" t="s">
        <v>50</v>
      </c>
      <c r="H77" s="3"/>
      <c r="I77" s="3"/>
      <c r="J77" s="3"/>
      <c r="K77" s="3"/>
      <c r="L77" s="3"/>
      <c r="M77" s="3"/>
      <c r="N77" s="3"/>
      <c r="O77" s="3"/>
      <c r="P77" s="3"/>
      <c r="Q77" s="3"/>
    </row>
    <row r="78" spans="1:17" ht="60" customHeight="1" x14ac:dyDescent="0.25">
      <c r="A78" s="9">
        <f>IF(F78="","",ROW()-19-COUNTBLANK($F$20:F78))</f>
        <v>49</v>
      </c>
      <c r="B78" s="4" t="s">
        <v>473</v>
      </c>
      <c r="C78" s="4" t="s">
        <v>474</v>
      </c>
      <c r="D78" s="4"/>
      <c r="E78" s="7" t="s">
        <v>3261</v>
      </c>
      <c r="F78" s="7" t="s">
        <v>2419</v>
      </c>
      <c r="G78" s="3" t="s">
        <v>50</v>
      </c>
      <c r="H78" s="3"/>
      <c r="I78" s="3"/>
      <c r="J78" s="3"/>
      <c r="K78" s="3"/>
      <c r="L78" s="3"/>
      <c r="M78" s="3"/>
      <c r="N78" s="3"/>
      <c r="O78" s="3"/>
      <c r="P78" s="3"/>
      <c r="Q78" s="3"/>
    </row>
    <row r="79" spans="1:17" ht="60" customHeight="1" x14ac:dyDescent="0.25">
      <c r="A79" s="9">
        <f>IF(F79="","",ROW()-19-COUNTBLANK($F$20:F79))</f>
        <v>50</v>
      </c>
      <c r="B79" s="4" t="s">
        <v>477</v>
      </c>
      <c r="C79" s="4" t="s">
        <v>478</v>
      </c>
      <c r="D79" s="4"/>
      <c r="E79" s="7" t="s">
        <v>3262</v>
      </c>
      <c r="F79" s="7" t="s">
        <v>480</v>
      </c>
      <c r="G79" s="3" t="s">
        <v>55</v>
      </c>
      <c r="H79" s="3"/>
      <c r="I79" s="3"/>
      <c r="J79" s="3"/>
      <c r="K79" s="3"/>
      <c r="L79" s="3"/>
      <c r="M79" s="3"/>
      <c r="N79" s="3"/>
      <c r="O79" s="3"/>
      <c r="P79" s="3"/>
      <c r="Q79" s="3"/>
    </row>
    <row r="80" spans="1:17" ht="60" customHeight="1" x14ac:dyDescent="0.25">
      <c r="A80" s="9">
        <f>IF(F80="","",ROW()-19-COUNTBLANK($F$20:F80))</f>
        <v>51</v>
      </c>
      <c r="B80" s="17" t="s">
        <v>481</v>
      </c>
      <c r="C80" s="4" t="s">
        <v>482</v>
      </c>
      <c r="D80" s="4" t="s">
        <v>579</v>
      </c>
      <c r="E80" s="7" t="s">
        <v>3263</v>
      </c>
      <c r="F80" s="7" t="s">
        <v>485</v>
      </c>
      <c r="G80" s="3" t="s">
        <v>73</v>
      </c>
      <c r="H80" s="3"/>
      <c r="I80" s="3"/>
      <c r="J80" s="3"/>
      <c r="K80" s="3"/>
      <c r="L80" s="3"/>
      <c r="M80" s="3"/>
      <c r="N80" s="3"/>
      <c r="O80" s="3"/>
      <c r="P80" s="3"/>
      <c r="Q80" s="3"/>
    </row>
    <row r="81" spans="1:17" ht="60" customHeight="1" x14ac:dyDescent="0.25">
      <c r="A81" s="9">
        <f>IF(F81="","",ROW()-19-COUNTBLANK($F$20:F81))</f>
        <v>52</v>
      </c>
      <c r="B81" s="18"/>
      <c r="C81" s="4" t="s">
        <v>486</v>
      </c>
      <c r="D81" s="4" t="s">
        <v>581</v>
      </c>
      <c r="E81" s="7" t="s">
        <v>3263</v>
      </c>
      <c r="F81" s="7" t="s">
        <v>485</v>
      </c>
      <c r="G81" s="3" t="s">
        <v>73</v>
      </c>
      <c r="H81" s="3"/>
      <c r="I81" s="3"/>
      <c r="J81" s="3"/>
      <c r="K81" s="3"/>
      <c r="L81" s="3"/>
      <c r="M81" s="3"/>
      <c r="N81" s="3"/>
      <c r="O81" s="3"/>
      <c r="P81" s="3"/>
      <c r="Q81" s="3"/>
    </row>
    <row r="82" spans="1:17" ht="60" customHeight="1" x14ac:dyDescent="0.25">
      <c r="A82" s="9">
        <f>IF(F82="","",ROW()-19-COUNTBLANK($F$20:F82))</f>
        <v>53</v>
      </c>
      <c r="B82" s="19"/>
      <c r="C82" s="4" t="s">
        <v>488</v>
      </c>
      <c r="D82" s="4" t="s">
        <v>582</v>
      </c>
      <c r="E82" s="7" t="s">
        <v>3264</v>
      </c>
      <c r="F82" s="7" t="s">
        <v>491</v>
      </c>
      <c r="G82" s="3" t="s">
        <v>73</v>
      </c>
      <c r="H82" s="3"/>
      <c r="I82" s="3"/>
      <c r="J82" s="3"/>
      <c r="K82" s="3"/>
      <c r="L82" s="3"/>
      <c r="M82" s="3"/>
      <c r="N82" s="3"/>
      <c r="O82" s="3"/>
      <c r="P82" s="3"/>
      <c r="Q82" s="3"/>
    </row>
    <row r="83" spans="1:17" ht="60" customHeight="1" x14ac:dyDescent="0.25">
      <c r="A83" s="9">
        <f>IF(F83="","",ROW()-19-COUNTBLANK($F$20:F83))</f>
        <v>54</v>
      </c>
      <c r="B83" s="17" t="s">
        <v>492</v>
      </c>
      <c r="C83" s="4" t="s">
        <v>493</v>
      </c>
      <c r="D83" s="4" t="s">
        <v>494</v>
      </c>
      <c r="E83" s="7" t="s">
        <v>3265</v>
      </c>
      <c r="F83" s="7" t="s">
        <v>496</v>
      </c>
      <c r="G83" s="3" t="s">
        <v>50</v>
      </c>
      <c r="H83" s="3"/>
      <c r="I83" s="3"/>
      <c r="J83" s="3"/>
      <c r="K83" s="3"/>
      <c r="L83" s="3"/>
      <c r="M83" s="3"/>
      <c r="N83" s="3"/>
      <c r="O83" s="3"/>
      <c r="P83" s="3"/>
      <c r="Q83" s="3"/>
    </row>
    <row r="84" spans="1:17" ht="60" customHeight="1" x14ac:dyDescent="0.25">
      <c r="A84" s="9">
        <f>IF(F84="","",ROW()-19-COUNTBLANK($F$20:F84))</f>
        <v>55</v>
      </c>
      <c r="B84" s="18"/>
      <c r="C84" s="4" t="s">
        <v>497</v>
      </c>
      <c r="D84" s="4" t="s">
        <v>498</v>
      </c>
      <c r="E84" s="7" t="s">
        <v>3266</v>
      </c>
      <c r="F84" s="7" t="s">
        <v>500</v>
      </c>
      <c r="G84" s="3" t="s">
        <v>55</v>
      </c>
      <c r="H84" s="3"/>
      <c r="I84" s="3"/>
      <c r="J84" s="3"/>
      <c r="K84" s="3"/>
      <c r="L84" s="3"/>
      <c r="M84" s="3"/>
      <c r="N84" s="3"/>
      <c r="O84" s="3"/>
      <c r="P84" s="3"/>
      <c r="Q84" s="3"/>
    </row>
    <row r="85" spans="1:17" ht="60" customHeight="1" x14ac:dyDescent="0.25">
      <c r="A85" s="9">
        <f>IF(F85="","",ROW()-19-COUNTBLANK($F$20:F85))</f>
        <v>56</v>
      </c>
      <c r="B85" s="19"/>
      <c r="C85" s="4" t="s">
        <v>501</v>
      </c>
      <c r="D85" s="4" t="s">
        <v>502</v>
      </c>
      <c r="E85" s="7" t="s">
        <v>3267</v>
      </c>
      <c r="F85" s="7" t="s">
        <v>504</v>
      </c>
      <c r="G85" s="3" t="s">
        <v>55</v>
      </c>
      <c r="H85" s="3"/>
      <c r="I85" s="3"/>
      <c r="J85" s="3"/>
      <c r="K85" s="3"/>
      <c r="L85" s="3"/>
      <c r="M85" s="3"/>
      <c r="N85" s="3"/>
      <c r="O85" s="3"/>
      <c r="P85" s="3"/>
      <c r="Q85" s="3"/>
    </row>
    <row r="86" spans="1:17" ht="60" customHeight="1" x14ac:dyDescent="0.25">
      <c r="A86" s="9">
        <f>IF(F86="","",ROW()-19-COUNTBLANK($F$20:F86))</f>
        <v>57</v>
      </c>
      <c r="B86" s="17" t="s">
        <v>473</v>
      </c>
      <c r="C86" s="17" t="s">
        <v>505</v>
      </c>
      <c r="D86" s="4" t="s">
        <v>506</v>
      </c>
      <c r="E86" s="7" t="s">
        <v>507</v>
      </c>
      <c r="F86" s="7" t="s">
        <v>508</v>
      </c>
      <c r="G86" s="3" t="s">
        <v>55</v>
      </c>
      <c r="H86" s="3"/>
      <c r="I86" s="3"/>
      <c r="J86" s="3"/>
      <c r="K86" s="3"/>
      <c r="L86" s="3"/>
      <c r="M86" s="3"/>
      <c r="N86" s="3"/>
      <c r="O86" s="3"/>
      <c r="P86" s="3"/>
      <c r="Q86" s="3"/>
    </row>
    <row r="87" spans="1:17" ht="60" customHeight="1" x14ac:dyDescent="0.25">
      <c r="A87" s="9">
        <f>IF(F87="","",ROW()-19-COUNTBLANK($F$20:F87))</f>
        <v>58</v>
      </c>
      <c r="B87" s="18"/>
      <c r="C87" s="19"/>
      <c r="D87" s="4" t="s">
        <v>509</v>
      </c>
      <c r="E87" s="7" t="s">
        <v>510</v>
      </c>
      <c r="F87" s="7" t="s">
        <v>511</v>
      </c>
      <c r="G87" s="3" t="s">
        <v>55</v>
      </c>
      <c r="H87" s="3"/>
      <c r="I87" s="3"/>
      <c r="J87" s="3"/>
      <c r="K87" s="3"/>
      <c r="L87" s="3"/>
      <c r="M87" s="3"/>
      <c r="N87" s="3"/>
      <c r="O87" s="3"/>
      <c r="P87" s="3"/>
      <c r="Q87" s="3"/>
    </row>
    <row r="88" spans="1:17" ht="60" customHeight="1" x14ac:dyDescent="0.25">
      <c r="A88" s="9">
        <f>IF(F88="","",ROW()-19-COUNTBLANK($F$20:F88))</f>
        <v>59</v>
      </c>
      <c r="B88" s="18"/>
      <c r="C88" s="4" t="s">
        <v>512</v>
      </c>
      <c r="D88" s="4" t="s">
        <v>513</v>
      </c>
      <c r="E88" s="7" t="s">
        <v>514</v>
      </c>
      <c r="F88" s="7" t="s">
        <v>515</v>
      </c>
      <c r="G88" s="3" t="s">
        <v>55</v>
      </c>
      <c r="H88" s="3"/>
      <c r="I88" s="3"/>
      <c r="J88" s="3"/>
      <c r="K88" s="3"/>
      <c r="L88" s="3"/>
      <c r="M88" s="3"/>
      <c r="N88" s="3"/>
      <c r="O88" s="3"/>
      <c r="P88" s="3"/>
      <c r="Q88" s="3"/>
    </row>
    <row r="89" spans="1:17" ht="60" customHeight="1" x14ac:dyDescent="0.25">
      <c r="A89" s="9">
        <f>IF(F89="","",ROW()-19-COUNTBLANK($F$20:F89))</f>
        <v>60</v>
      </c>
      <c r="B89" s="19"/>
      <c r="C89" s="4" t="s">
        <v>516</v>
      </c>
      <c r="D89" s="4" t="s">
        <v>517</v>
      </c>
      <c r="E89" s="7" t="s">
        <v>518</v>
      </c>
      <c r="F89" s="7" t="s">
        <v>519</v>
      </c>
      <c r="G89" s="3" t="s">
        <v>55</v>
      </c>
      <c r="H89" s="3"/>
      <c r="I89" s="3"/>
      <c r="J89" s="3"/>
      <c r="K89" s="3"/>
      <c r="L89" s="3"/>
      <c r="M89" s="3"/>
      <c r="N89" s="3"/>
      <c r="O89" s="3"/>
      <c r="P89" s="3"/>
      <c r="Q89" s="3"/>
    </row>
    <row r="90" spans="1:17" ht="60" customHeight="1" x14ac:dyDescent="0.25">
      <c r="A90" s="9">
        <f>IF(F90="","",ROW()-19-COUNTBLANK($F$20:F90))</f>
        <v>61</v>
      </c>
      <c r="B90" s="4" t="s">
        <v>520</v>
      </c>
      <c r="C90" s="4" t="s">
        <v>521</v>
      </c>
      <c r="D90" s="4"/>
      <c r="E90" s="7" t="s">
        <v>3268</v>
      </c>
      <c r="F90" s="7" t="s">
        <v>523</v>
      </c>
      <c r="G90" s="3" t="s">
        <v>55</v>
      </c>
      <c r="H90" s="3"/>
      <c r="I90" s="3"/>
      <c r="J90" s="3"/>
      <c r="K90" s="3"/>
      <c r="L90" s="3"/>
      <c r="M90" s="3"/>
      <c r="N90" s="3"/>
      <c r="O90" s="3"/>
      <c r="P90" s="3"/>
      <c r="Q90" s="3"/>
    </row>
    <row r="91" spans="1:17" ht="20.100000000000001" customHeight="1" x14ac:dyDescent="0.25">
      <c r="A91" s="9" t="str">
        <f>IF(F91="","",ROW()-19-COUNTBLANK($F$20:F91))</f>
        <v/>
      </c>
      <c r="B91" s="12" t="s">
        <v>2427</v>
      </c>
      <c r="C91" s="12"/>
      <c r="D91" s="12"/>
      <c r="E91" s="12"/>
      <c r="F91" s="12"/>
      <c r="G91" s="12"/>
      <c r="H91" s="12"/>
      <c r="I91" s="12"/>
      <c r="J91" s="12"/>
      <c r="K91" s="12"/>
      <c r="L91" s="12"/>
      <c r="M91" s="12"/>
      <c r="N91" s="12"/>
      <c r="O91" s="12"/>
      <c r="P91" s="12"/>
      <c r="Q91" s="12"/>
    </row>
    <row r="92" spans="1:17" ht="60" customHeight="1" x14ac:dyDescent="0.25">
      <c r="A92" s="9">
        <f>IF(F92="","",ROW()-19-COUNTBLANK($F$20:F92))</f>
        <v>62</v>
      </c>
      <c r="B92" s="4" t="s">
        <v>216</v>
      </c>
      <c r="C92" s="4" t="s">
        <v>2428</v>
      </c>
      <c r="D92" s="4"/>
      <c r="E92" s="7" t="s">
        <v>3269</v>
      </c>
      <c r="F92" s="7" t="s">
        <v>2430</v>
      </c>
      <c r="G92" s="3" t="s">
        <v>55</v>
      </c>
      <c r="H92" s="3"/>
      <c r="I92" s="3"/>
      <c r="J92" s="3"/>
      <c r="K92" s="3"/>
      <c r="L92" s="3"/>
      <c r="M92" s="3"/>
      <c r="N92" s="3"/>
      <c r="O92" s="3"/>
      <c r="P92" s="3"/>
      <c r="Q92" s="3"/>
    </row>
    <row r="93" spans="1:17" ht="60" customHeight="1" x14ac:dyDescent="0.25">
      <c r="A93" s="9">
        <f>IF(F93="","",ROW()-19-COUNTBLANK($F$20:F93))</f>
        <v>63</v>
      </c>
      <c r="B93" s="4" t="s">
        <v>1064</v>
      </c>
      <c r="C93" s="4" t="s">
        <v>2431</v>
      </c>
      <c r="D93" s="4"/>
      <c r="E93" s="7" t="s">
        <v>3270</v>
      </c>
      <c r="F93" s="7" t="s">
        <v>1067</v>
      </c>
      <c r="G93" s="3" t="s">
        <v>55</v>
      </c>
      <c r="H93" s="3"/>
      <c r="I93" s="3"/>
      <c r="J93" s="3"/>
      <c r="K93" s="3"/>
      <c r="L93" s="3"/>
      <c r="M93" s="3"/>
      <c r="N93" s="3"/>
      <c r="O93" s="3"/>
      <c r="P93" s="3"/>
      <c r="Q93" s="3"/>
    </row>
    <row r="94" spans="1:17" ht="60" customHeight="1" x14ac:dyDescent="0.25">
      <c r="A94" s="9">
        <f>IF(F94="","",ROW()-19-COUNTBLANK($F$20:F94))</f>
        <v>64</v>
      </c>
      <c r="B94" s="4" t="s">
        <v>1068</v>
      </c>
      <c r="C94" s="4" t="s">
        <v>2433</v>
      </c>
      <c r="D94" s="4"/>
      <c r="E94" s="7" t="s">
        <v>3271</v>
      </c>
      <c r="F94" s="7" t="s">
        <v>2435</v>
      </c>
      <c r="G94" s="3" t="s">
        <v>73</v>
      </c>
      <c r="H94" s="3"/>
      <c r="I94" s="3"/>
      <c r="J94" s="3"/>
      <c r="K94" s="3"/>
      <c r="L94" s="3"/>
      <c r="M94" s="3"/>
      <c r="N94" s="3"/>
      <c r="O94" s="3"/>
      <c r="P94" s="3"/>
      <c r="Q94" s="3"/>
    </row>
    <row r="95" spans="1:17" ht="60" customHeight="1" x14ac:dyDescent="0.25">
      <c r="A95" s="9">
        <f>IF(F95="","",ROW()-19-COUNTBLANK($F$20:F95))</f>
        <v>65</v>
      </c>
      <c r="B95" s="4" t="s">
        <v>1072</v>
      </c>
      <c r="C95" s="4" t="s">
        <v>2436</v>
      </c>
      <c r="D95" s="4"/>
      <c r="E95" s="7" t="s">
        <v>3269</v>
      </c>
      <c r="F95" s="7" t="s">
        <v>1095</v>
      </c>
      <c r="G95" s="3" t="s">
        <v>73</v>
      </c>
      <c r="H95" s="3"/>
      <c r="I95" s="3"/>
      <c r="J95" s="3"/>
      <c r="K95" s="3"/>
      <c r="L95" s="3"/>
      <c r="M95" s="3"/>
      <c r="N95" s="3"/>
      <c r="O95" s="3"/>
      <c r="P95" s="3"/>
      <c r="Q95" s="3"/>
    </row>
    <row r="96" spans="1:17" ht="20.100000000000001" customHeight="1" x14ac:dyDescent="0.25">
      <c r="A96" s="9" t="str">
        <f>IF(F96="","",ROW()-19-COUNTBLANK($F$20:F96))</f>
        <v/>
      </c>
      <c r="B96" s="12" t="s">
        <v>2437</v>
      </c>
      <c r="C96" s="12"/>
      <c r="D96" s="12"/>
      <c r="E96" s="12"/>
      <c r="F96" s="12"/>
      <c r="G96" s="12"/>
      <c r="H96" s="12"/>
      <c r="I96" s="12"/>
      <c r="J96" s="12"/>
      <c r="K96" s="12"/>
      <c r="L96" s="12"/>
      <c r="M96" s="12"/>
      <c r="N96" s="12"/>
      <c r="O96" s="12"/>
      <c r="P96" s="12"/>
      <c r="Q96" s="12"/>
    </row>
    <row r="97" spans="1:17" ht="60" customHeight="1" x14ac:dyDescent="0.25">
      <c r="A97" s="9">
        <f>IF(F97="","",ROW()-19-COUNTBLANK($F$20:F97))</f>
        <v>66</v>
      </c>
      <c r="B97" s="4" t="s">
        <v>216</v>
      </c>
      <c r="C97" s="4" t="s">
        <v>2438</v>
      </c>
      <c r="D97" s="4"/>
      <c r="E97" s="7" t="s">
        <v>3272</v>
      </c>
      <c r="F97" s="7" t="s">
        <v>2440</v>
      </c>
      <c r="G97" s="3" t="s">
        <v>55</v>
      </c>
      <c r="H97" s="3"/>
      <c r="I97" s="3"/>
      <c r="J97" s="3"/>
      <c r="K97" s="3"/>
      <c r="L97" s="3"/>
      <c r="M97" s="3"/>
      <c r="N97" s="3"/>
      <c r="O97" s="3"/>
      <c r="P97" s="3"/>
      <c r="Q97" s="3"/>
    </row>
    <row r="98" spans="1:17" ht="60" customHeight="1" x14ac:dyDescent="0.25">
      <c r="A98" s="9">
        <f>IF(F98="","",ROW()-19-COUNTBLANK($F$20:F98))</f>
        <v>67</v>
      </c>
      <c r="B98" s="4" t="s">
        <v>1064</v>
      </c>
      <c r="C98" s="4" t="s">
        <v>2441</v>
      </c>
      <c r="D98" s="4"/>
      <c r="E98" s="7" t="s">
        <v>3273</v>
      </c>
      <c r="F98" s="7" t="s">
        <v>1067</v>
      </c>
      <c r="G98" s="3" t="s">
        <v>55</v>
      </c>
      <c r="H98" s="3"/>
      <c r="I98" s="3"/>
      <c r="J98" s="3"/>
      <c r="K98" s="3"/>
      <c r="L98" s="3"/>
      <c r="M98" s="3"/>
      <c r="N98" s="3"/>
      <c r="O98" s="3"/>
      <c r="P98" s="3"/>
      <c r="Q98" s="3"/>
    </row>
    <row r="99" spans="1:17" ht="60" customHeight="1" x14ac:dyDescent="0.25">
      <c r="A99" s="9">
        <f>IF(F99="","",ROW()-19-COUNTBLANK($F$20:F99))</f>
        <v>68</v>
      </c>
      <c r="B99" s="4" t="s">
        <v>1068</v>
      </c>
      <c r="C99" s="4" t="s">
        <v>2443</v>
      </c>
      <c r="D99" s="4"/>
      <c r="E99" s="7" t="s">
        <v>3274</v>
      </c>
      <c r="F99" s="7" t="s">
        <v>2445</v>
      </c>
      <c r="G99" s="3" t="s">
        <v>73</v>
      </c>
      <c r="H99" s="3"/>
      <c r="I99" s="3"/>
      <c r="J99" s="3"/>
      <c r="K99" s="3"/>
      <c r="L99" s="3"/>
      <c r="M99" s="3"/>
      <c r="N99" s="3"/>
      <c r="O99" s="3"/>
      <c r="P99" s="3"/>
      <c r="Q99" s="3"/>
    </row>
    <row r="100" spans="1:17" ht="60" customHeight="1" x14ac:dyDescent="0.25">
      <c r="A100" s="9">
        <f>IF(F100="","",ROW()-19-COUNTBLANK($F$20:F100))</f>
        <v>69</v>
      </c>
      <c r="B100" s="4" t="s">
        <v>1072</v>
      </c>
      <c r="C100" s="4" t="s">
        <v>2446</v>
      </c>
      <c r="D100" s="4"/>
      <c r="E100" s="7" t="s">
        <v>3272</v>
      </c>
      <c r="F100" s="7" t="s">
        <v>1095</v>
      </c>
      <c r="G100" s="3" t="s">
        <v>73</v>
      </c>
      <c r="H100" s="3"/>
      <c r="I100" s="3"/>
      <c r="J100" s="3"/>
      <c r="K100" s="3"/>
      <c r="L100" s="3"/>
      <c r="M100" s="3"/>
      <c r="N100" s="3"/>
      <c r="O100" s="3"/>
      <c r="P100" s="3"/>
      <c r="Q100" s="3"/>
    </row>
    <row r="101" spans="1:17" ht="20.100000000000001" customHeight="1" x14ac:dyDescent="0.25">
      <c r="A101" s="9" t="str">
        <f>IF(F101="","",ROW()-19-COUNTBLANK($F$20:F101))</f>
        <v/>
      </c>
      <c r="B101" s="12" t="s">
        <v>2447</v>
      </c>
      <c r="C101" s="12"/>
      <c r="D101" s="12"/>
      <c r="E101" s="12"/>
      <c r="F101" s="12"/>
      <c r="G101" s="12"/>
      <c r="H101" s="12"/>
      <c r="I101" s="12"/>
      <c r="J101" s="12"/>
      <c r="K101" s="12"/>
      <c r="L101" s="12"/>
      <c r="M101" s="12"/>
      <c r="N101" s="12"/>
      <c r="O101" s="12"/>
      <c r="P101" s="12"/>
      <c r="Q101" s="12"/>
    </row>
    <row r="102" spans="1:17" ht="60" customHeight="1" x14ac:dyDescent="0.25">
      <c r="A102" s="9">
        <f>IF(F102="","",ROW()-19-COUNTBLANK($F$20:F102))</f>
        <v>70</v>
      </c>
      <c r="B102" s="4" t="s">
        <v>216</v>
      </c>
      <c r="C102" s="4" t="s">
        <v>2448</v>
      </c>
      <c r="D102" s="4"/>
      <c r="E102" s="7" t="s">
        <v>3275</v>
      </c>
      <c r="F102" s="7" t="s">
        <v>2450</v>
      </c>
      <c r="G102" s="3" t="s">
        <v>55</v>
      </c>
      <c r="H102" s="3"/>
      <c r="I102" s="3"/>
      <c r="J102" s="3"/>
      <c r="K102" s="3"/>
      <c r="L102" s="3"/>
      <c r="M102" s="3"/>
      <c r="N102" s="3"/>
      <c r="O102" s="3"/>
      <c r="P102" s="3"/>
      <c r="Q102" s="3"/>
    </row>
    <row r="103" spans="1:17" ht="60" customHeight="1" x14ac:dyDescent="0.25">
      <c r="A103" s="9">
        <f>IF(F103="","",ROW()-19-COUNTBLANK($F$20:F103))</f>
        <v>71</v>
      </c>
      <c r="B103" s="4" t="s">
        <v>1064</v>
      </c>
      <c r="C103" s="4" t="s">
        <v>2451</v>
      </c>
      <c r="D103" s="4"/>
      <c r="E103" s="7" t="s">
        <v>3276</v>
      </c>
      <c r="F103" s="7" t="s">
        <v>1067</v>
      </c>
      <c r="G103" s="3" t="s">
        <v>55</v>
      </c>
      <c r="H103" s="3"/>
      <c r="I103" s="3"/>
      <c r="J103" s="3"/>
      <c r="K103" s="3"/>
      <c r="L103" s="3"/>
      <c r="M103" s="3"/>
      <c r="N103" s="3"/>
      <c r="O103" s="3"/>
      <c r="P103" s="3"/>
      <c r="Q103" s="3"/>
    </row>
    <row r="104" spans="1:17" ht="60" customHeight="1" x14ac:dyDescent="0.25">
      <c r="A104" s="9">
        <f>IF(F104="","",ROW()-19-COUNTBLANK($F$20:F104))</f>
        <v>72</v>
      </c>
      <c r="B104" s="4" t="s">
        <v>1068</v>
      </c>
      <c r="C104" s="4" t="s">
        <v>2453</v>
      </c>
      <c r="D104" s="4"/>
      <c r="E104" s="7" t="s">
        <v>3277</v>
      </c>
      <c r="F104" s="7" t="s">
        <v>2455</v>
      </c>
      <c r="G104" s="3" t="s">
        <v>73</v>
      </c>
      <c r="H104" s="3"/>
      <c r="I104" s="3"/>
      <c r="J104" s="3"/>
      <c r="K104" s="3"/>
      <c r="L104" s="3"/>
      <c r="M104" s="3"/>
      <c r="N104" s="3"/>
      <c r="O104" s="3"/>
      <c r="P104" s="3"/>
      <c r="Q104" s="3"/>
    </row>
    <row r="105" spans="1:17" ht="60" customHeight="1" x14ac:dyDescent="0.25">
      <c r="A105" s="9">
        <f>IF(F105="","",ROW()-19-COUNTBLANK($F$20:F105))</f>
        <v>73</v>
      </c>
      <c r="B105" s="4" t="s">
        <v>1072</v>
      </c>
      <c r="C105" s="4" t="s">
        <v>2456</v>
      </c>
      <c r="D105" s="4"/>
      <c r="E105" s="7" t="s">
        <v>3275</v>
      </c>
      <c r="F105" s="7" t="s">
        <v>1095</v>
      </c>
      <c r="G105" s="3" t="s">
        <v>73</v>
      </c>
      <c r="H105" s="3"/>
      <c r="I105" s="3"/>
      <c r="J105" s="3"/>
      <c r="K105" s="3"/>
      <c r="L105" s="3"/>
      <c r="M105" s="3"/>
      <c r="N105" s="3"/>
      <c r="O105" s="3"/>
      <c r="P105" s="3"/>
      <c r="Q105" s="3"/>
    </row>
    <row r="106" spans="1:17" ht="20.100000000000001" customHeight="1" x14ac:dyDescent="0.25">
      <c r="A106" s="9" t="str">
        <f>IF(F106="","",ROW()-19-COUNTBLANK($F$20:F106))</f>
        <v/>
      </c>
      <c r="B106" s="12" t="s">
        <v>2457</v>
      </c>
      <c r="C106" s="12"/>
      <c r="D106" s="12"/>
      <c r="E106" s="12"/>
      <c r="F106" s="12"/>
      <c r="G106" s="12"/>
      <c r="H106" s="12"/>
      <c r="I106" s="12"/>
      <c r="J106" s="12"/>
      <c r="K106" s="12"/>
      <c r="L106" s="12"/>
      <c r="M106" s="12"/>
      <c r="N106" s="12"/>
      <c r="O106" s="12"/>
      <c r="P106" s="12"/>
      <c r="Q106" s="12"/>
    </row>
    <row r="107" spans="1:17" ht="60" customHeight="1" x14ac:dyDescent="0.25">
      <c r="A107" s="9">
        <f>IF(F107="","",ROW()-19-COUNTBLANK($F$20:F107))</f>
        <v>74</v>
      </c>
      <c r="B107" s="4" t="s">
        <v>216</v>
      </c>
      <c r="C107" s="4" t="s">
        <v>2458</v>
      </c>
      <c r="D107" s="4"/>
      <c r="E107" s="7" t="s">
        <v>3278</v>
      </c>
      <c r="F107" s="7" t="s">
        <v>2460</v>
      </c>
      <c r="G107" s="3" t="s">
        <v>55</v>
      </c>
      <c r="H107" s="3"/>
      <c r="I107" s="3"/>
      <c r="J107" s="3"/>
      <c r="K107" s="3"/>
      <c r="L107" s="3"/>
      <c r="M107" s="3"/>
      <c r="N107" s="3"/>
      <c r="O107" s="3"/>
      <c r="P107" s="3"/>
      <c r="Q107" s="3"/>
    </row>
    <row r="108" spans="1:17" ht="60" customHeight="1" x14ac:dyDescent="0.25">
      <c r="A108" s="9">
        <f>IF(F108="","",ROW()-19-COUNTBLANK($F$20:F108))</f>
        <v>75</v>
      </c>
      <c r="B108" s="4" t="s">
        <v>1064</v>
      </c>
      <c r="C108" s="4" t="s">
        <v>2461</v>
      </c>
      <c r="D108" s="4"/>
      <c r="E108" s="7" t="s">
        <v>3279</v>
      </c>
      <c r="F108" s="7" t="s">
        <v>1067</v>
      </c>
      <c r="G108" s="3" t="s">
        <v>55</v>
      </c>
      <c r="H108" s="3"/>
      <c r="I108" s="3"/>
      <c r="J108" s="3"/>
      <c r="K108" s="3"/>
      <c r="L108" s="3"/>
      <c r="M108" s="3"/>
      <c r="N108" s="3"/>
      <c r="O108" s="3"/>
      <c r="P108" s="3"/>
      <c r="Q108" s="3"/>
    </row>
    <row r="109" spans="1:17" ht="60" customHeight="1" x14ac:dyDescent="0.25">
      <c r="A109" s="9">
        <f>IF(F109="","",ROW()-19-COUNTBLANK($F$20:F109))</f>
        <v>76</v>
      </c>
      <c r="B109" s="4" t="s">
        <v>1068</v>
      </c>
      <c r="C109" s="4" t="s">
        <v>2463</v>
      </c>
      <c r="D109" s="4"/>
      <c r="E109" s="7" t="s">
        <v>3280</v>
      </c>
      <c r="F109" s="7" t="s">
        <v>2465</v>
      </c>
      <c r="G109" s="3" t="s">
        <v>73</v>
      </c>
      <c r="H109" s="3"/>
      <c r="I109" s="3"/>
      <c r="J109" s="3"/>
      <c r="K109" s="3"/>
      <c r="L109" s="3"/>
      <c r="M109" s="3"/>
      <c r="N109" s="3"/>
      <c r="O109" s="3"/>
      <c r="P109" s="3"/>
      <c r="Q109" s="3"/>
    </row>
    <row r="110" spans="1:17" ht="60" customHeight="1" x14ac:dyDescent="0.25">
      <c r="A110" s="9">
        <f>IF(F110="","",ROW()-19-COUNTBLANK($F$20:F110))</f>
        <v>77</v>
      </c>
      <c r="B110" s="4" t="s">
        <v>1072</v>
      </c>
      <c r="C110" s="4" t="s">
        <v>2466</v>
      </c>
      <c r="D110" s="4"/>
      <c r="E110" s="7" t="s">
        <v>3278</v>
      </c>
      <c r="F110" s="7" t="s">
        <v>1095</v>
      </c>
      <c r="G110" s="3" t="s">
        <v>73</v>
      </c>
      <c r="H110" s="3"/>
      <c r="I110" s="3"/>
      <c r="J110" s="3"/>
      <c r="K110" s="3"/>
      <c r="L110" s="3"/>
      <c r="M110" s="3"/>
      <c r="N110" s="3"/>
      <c r="O110" s="3"/>
      <c r="P110" s="3"/>
      <c r="Q110" s="3"/>
    </row>
    <row r="111" spans="1:17" ht="20.100000000000001" customHeight="1" x14ac:dyDescent="0.25">
      <c r="A111" s="9" t="str">
        <f>IF(F111="","",ROW()-19-COUNTBLANK($F$20:F111))</f>
        <v/>
      </c>
      <c r="B111" s="12" t="s">
        <v>2467</v>
      </c>
      <c r="C111" s="12"/>
      <c r="D111" s="12"/>
      <c r="E111" s="12"/>
      <c r="F111" s="12"/>
      <c r="G111" s="12"/>
      <c r="H111" s="12"/>
      <c r="I111" s="12"/>
      <c r="J111" s="12"/>
      <c r="K111" s="12"/>
      <c r="L111" s="12"/>
      <c r="M111" s="12"/>
      <c r="N111" s="12"/>
      <c r="O111" s="12"/>
      <c r="P111" s="12"/>
      <c r="Q111" s="12"/>
    </row>
    <row r="112" spans="1:17" ht="60" customHeight="1" x14ac:dyDescent="0.25">
      <c r="A112" s="9">
        <f>IF(F112="","",ROW()-19-COUNTBLANK($F$20:F112))</f>
        <v>78</v>
      </c>
      <c r="B112" s="4" t="s">
        <v>2468</v>
      </c>
      <c r="C112" s="4" t="s">
        <v>2469</v>
      </c>
      <c r="D112" s="4" t="s">
        <v>2470</v>
      </c>
      <c r="E112" s="7" t="s">
        <v>3281</v>
      </c>
      <c r="F112" s="7" t="s">
        <v>2472</v>
      </c>
      <c r="G112" s="3" t="s">
        <v>50</v>
      </c>
      <c r="H112" s="3"/>
      <c r="I112" s="3"/>
      <c r="J112" s="3"/>
      <c r="K112" s="3"/>
      <c r="L112" s="3"/>
      <c r="M112" s="3"/>
      <c r="N112" s="3"/>
      <c r="O112" s="3"/>
      <c r="P112" s="3"/>
      <c r="Q112" s="3"/>
    </row>
    <row r="113" spans="1:17" ht="60" customHeight="1" x14ac:dyDescent="0.25">
      <c r="A113" s="9">
        <f>IF(F113="","",ROW()-19-COUNTBLANK($F$20:F113))</f>
        <v>79</v>
      </c>
      <c r="B113" s="4" t="s">
        <v>2473</v>
      </c>
      <c r="C113" s="4" t="s">
        <v>2474</v>
      </c>
      <c r="D113" s="4" t="s">
        <v>2475</v>
      </c>
      <c r="E113" s="7" t="s">
        <v>3207</v>
      </c>
      <c r="F113" s="7" t="s">
        <v>2476</v>
      </c>
      <c r="G113" s="3" t="s">
        <v>50</v>
      </c>
      <c r="H113" s="3"/>
      <c r="I113" s="3"/>
      <c r="J113" s="3"/>
      <c r="K113" s="3"/>
      <c r="L113" s="3"/>
      <c r="M113" s="3"/>
      <c r="N113" s="3"/>
      <c r="O113" s="3"/>
      <c r="P113" s="3"/>
      <c r="Q113" s="3"/>
    </row>
    <row r="114" spans="1:17" ht="20.100000000000001" customHeight="1" x14ac:dyDescent="0.25">
      <c r="A114" s="9" t="str">
        <f>IF(F114="","",ROW()-19-COUNTBLANK($F$20:F114))</f>
        <v/>
      </c>
      <c r="B114" s="12" t="s">
        <v>2477</v>
      </c>
      <c r="C114" s="12"/>
      <c r="D114" s="12"/>
      <c r="E114" s="12"/>
      <c r="F114" s="12"/>
      <c r="G114" s="12"/>
      <c r="H114" s="12"/>
      <c r="I114" s="12"/>
      <c r="J114" s="12"/>
      <c r="K114" s="12"/>
      <c r="L114" s="12"/>
      <c r="M114" s="12"/>
      <c r="N114" s="12"/>
      <c r="O114" s="12"/>
      <c r="P114" s="12"/>
      <c r="Q114" s="12"/>
    </row>
    <row r="115" spans="1:17" ht="60" customHeight="1" x14ac:dyDescent="0.25">
      <c r="A115" s="9">
        <f>IF(F115="","",ROW()-19-COUNTBLANK($F$20:F115))</f>
        <v>80</v>
      </c>
      <c r="B115" s="4" t="s">
        <v>114</v>
      </c>
      <c r="C115" s="4" t="s">
        <v>2478</v>
      </c>
      <c r="D115" s="4"/>
      <c r="E115" s="7" t="s">
        <v>3282</v>
      </c>
      <c r="F115" s="7" t="s">
        <v>3283</v>
      </c>
      <c r="G115" s="3" t="s">
        <v>55</v>
      </c>
      <c r="H115" s="3"/>
      <c r="I115" s="3"/>
      <c r="J115" s="3"/>
      <c r="K115" s="3"/>
      <c r="L115" s="3"/>
      <c r="M115" s="3"/>
      <c r="N115" s="3"/>
      <c r="O115" s="3"/>
      <c r="P115" s="3"/>
      <c r="Q115" s="3"/>
    </row>
    <row r="116" spans="1:17" ht="60" customHeight="1" x14ac:dyDescent="0.25">
      <c r="A116" s="9">
        <f>IF(F116="","",ROW()-19-COUNTBLANK($F$20:F116))</f>
        <v>81</v>
      </c>
      <c r="B116" s="4" t="s">
        <v>118</v>
      </c>
      <c r="C116" s="4" t="s">
        <v>2481</v>
      </c>
      <c r="D116" s="4"/>
      <c r="E116" s="7" t="s">
        <v>3284</v>
      </c>
      <c r="F116" s="7" t="s">
        <v>359</v>
      </c>
      <c r="G116" s="3" t="s">
        <v>55</v>
      </c>
      <c r="H116" s="3"/>
      <c r="I116" s="3"/>
      <c r="J116" s="3"/>
      <c r="K116" s="3"/>
      <c r="L116" s="3"/>
      <c r="M116" s="3"/>
      <c r="N116" s="3"/>
      <c r="O116" s="3"/>
      <c r="P116" s="3"/>
      <c r="Q116" s="3"/>
    </row>
    <row r="117" spans="1:17" ht="60" customHeight="1" x14ac:dyDescent="0.25">
      <c r="A117" s="9">
        <f>IF(F117="","",ROW()-19-COUNTBLANK($F$20:F117))</f>
        <v>82</v>
      </c>
      <c r="B117" s="4" t="s">
        <v>122</v>
      </c>
      <c r="C117" s="4" t="s">
        <v>2483</v>
      </c>
      <c r="D117" s="4"/>
      <c r="E117" s="7" t="s">
        <v>3285</v>
      </c>
      <c r="F117" s="7" t="s">
        <v>3286</v>
      </c>
      <c r="G117" s="3" t="s">
        <v>55</v>
      </c>
      <c r="H117" s="3"/>
      <c r="I117" s="3"/>
      <c r="J117" s="3"/>
      <c r="K117" s="3"/>
      <c r="L117" s="3"/>
      <c r="M117" s="3"/>
      <c r="N117" s="3"/>
      <c r="O117" s="3"/>
      <c r="P117" s="3"/>
      <c r="Q117" s="3"/>
    </row>
    <row r="118" spans="1:17" ht="20.100000000000001" customHeight="1" x14ac:dyDescent="0.25">
      <c r="A118" s="9" t="str">
        <f>IF(F118="","",ROW()-19-COUNTBLANK($F$20:F118))</f>
        <v/>
      </c>
      <c r="B118" s="12" t="s">
        <v>3287</v>
      </c>
      <c r="C118" s="12"/>
      <c r="D118" s="12"/>
      <c r="E118" s="12"/>
      <c r="F118" s="12"/>
      <c r="G118" s="12"/>
      <c r="H118" s="12"/>
      <c r="I118" s="12"/>
      <c r="J118" s="12"/>
      <c r="K118" s="12"/>
      <c r="L118" s="12"/>
      <c r="M118" s="12"/>
      <c r="N118" s="12"/>
      <c r="O118" s="12"/>
      <c r="P118" s="12"/>
      <c r="Q118" s="12"/>
    </row>
    <row r="119" spans="1:17" ht="60" customHeight="1" x14ac:dyDescent="0.25">
      <c r="A119" s="9">
        <f>IF(F119="","",ROW()-19-COUNTBLANK($F$20:F119))</f>
        <v>83</v>
      </c>
      <c r="B119" s="4" t="s">
        <v>114</v>
      </c>
      <c r="C119" s="4" t="s">
        <v>3288</v>
      </c>
      <c r="D119" s="4"/>
      <c r="E119" s="7" t="s">
        <v>3289</v>
      </c>
      <c r="F119" s="7" t="s">
        <v>3290</v>
      </c>
      <c r="G119" s="3" t="s">
        <v>55</v>
      </c>
      <c r="H119" s="3"/>
      <c r="I119" s="3"/>
      <c r="J119" s="3"/>
      <c r="K119" s="3"/>
      <c r="L119" s="3"/>
      <c r="M119" s="3"/>
      <c r="N119" s="3"/>
      <c r="O119" s="3"/>
      <c r="P119" s="3"/>
      <c r="Q119" s="3"/>
    </row>
    <row r="120" spans="1:17" ht="60" customHeight="1" x14ac:dyDescent="0.25">
      <c r="A120" s="9">
        <f>IF(F120="","",ROW()-19-COUNTBLANK($F$20:F120))</f>
        <v>84</v>
      </c>
      <c r="B120" s="4" t="s">
        <v>118</v>
      </c>
      <c r="C120" s="4" t="s">
        <v>3291</v>
      </c>
      <c r="D120" s="4"/>
      <c r="E120" s="7" t="s">
        <v>3292</v>
      </c>
      <c r="F120" s="7" t="s">
        <v>3293</v>
      </c>
      <c r="G120" s="3" t="s">
        <v>55</v>
      </c>
      <c r="H120" s="3"/>
      <c r="I120" s="3"/>
      <c r="J120" s="3"/>
      <c r="K120" s="3"/>
      <c r="L120" s="3"/>
      <c r="M120" s="3"/>
      <c r="N120" s="3"/>
      <c r="O120" s="3"/>
      <c r="P120" s="3"/>
      <c r="Q120" s="3"/>
    </row>
    <row r="121" spans="1:17" ht="60" customHeight="1" x14ac:dyDescent="0.25">
      <c r="A121" s="9">
        <f>IF(F121="","",ROW()-19-COUNTBLANK($F$20:F121))</f>
        <v>85</v>
      </c>
      <c r="B121" s="4" t="s">
        <v>122</v>
      </c>
      <c r="C121" s="4" t="s">
        <v>3294</v>
      </c>
      <c r="D121" s="4"/>
      <c r="E121" s="7" t="s">
        <v>3295</v>
      </c>
      <c r="F121" s="7" t="s">
        <v>2494</v>
      </c>
      <c r="G121" s="3" t="s">
        <v>50</v>
      </c>
      <c r="H121" s="3"/>
      <c r="I121" s="3"/>
      <c r="J121" s="3"/>
      <c r="K121" s="3"/>
      <c r="L121" s="3"/>
      <c r="M121" s="3"/>
      <c r="N121" s="3"/>
      <c r="O121" s="3"/>
      <c r="P121" s="3"/>
      <c r="Q121" s="3"/>
    </row>
    <row r="122" spans="1:17" ht="20.100000000000001" customHeight="1" x14ac:dyDescent="0.25">
      <c r="A122" s="9" t="str">
        <f>IF(F122="","",ROW()-19-COUNTBLANK($F$20:F122))</f>
        <v/>
      </c>
      <c r="B122" s="12" t="s">
        <v>3296</v>
      </c>
      <c r="C122" s="12"/>
      <c r="D122" s="12"/>
      <c r="E122" s="12"/>
      <c r="F122" s="12"/>
      <c r="G122" s="12"/>
      <c r="H122" s="12"/>
      <c r="I122" s="12"/>
      <c r="J122" s="12"/>
      <c r="K122" s="12"/>
      <c r="L122" s="12"/>
      <c r="M122" s="12"/>
      <c r="N122" s="12"/>
      <c r="O122" s="12"/>
      <c r="P122" s="12"/>
      <c r="Q122" s="12"/>
    </row>
    <row r="123" spans="1:17" ht="60" customHeight="1" x14ac:dyDescent="0.25">
      <c r="A123" s="9">
        <f>IF(F123="","",ROW()-19-COUNTBLANK($F$20:F123))</f>
        <v>86</v>
      </c>
      <c r="B123" s="4" t="s">
        <v>114</v>
      </c>
      <c r="C123" s="4" t="s">
        <v>3297</v>
      </c>
      <c r="D123" s="4"/>
      <c r="E123" s="7" t="s">
        <v>3298</v>
      </c>
      <c r="F123" s="7" t="s">
        <v>3299</v>
      </c>
      <c r="G123" s="3" t="s">
        <v>55</v>
      </c>
      <c r="H123" s="3"/>
      <c r="I123" s="3"/>
      <c r="J123" s="3"/>
      <c r="K123" s="3"/>
      <c r="L123" s="3"/>
      <c r="M123" s="3"/>
      <c r="N123" s="3"/>
      <c r="O123" s="3"/>
      <c r="P123" s="3"/>
      <c r="Q123" s="3"/>
    </row>
    <row r="124" spans="1:17" ht="60" customHeight="1" x14ac:dyDescent="0.25">
      <c r="A124" s="9">
        <f>IF(F124="","",ROW()-19-COUNTBLANK($F$20:F124))</f>
        <v>87</v>
      </c>
      <c r="B124" s="4" t="s">
        <v>118</v>
      </c>
      <c r="C124" s="4" t="s">
        <v>3300</v>
      </c>
      <c r="D124" s="4"/>
      <c r="E124" s="7" t="s">
        <v>3301</v>
      </c>
      <c r="F124" s="7" t="s">
        <v>3293</v>
      </c>
      <c r="G124" s="3" t="s">
        <v>55</v>
      </c>
      <c r="H124" s="3"/>
      <c r="I124" s="3"/>
      <c r="J124" s="3"/>
      <c r="K124" s="3"/>
      <c r="L124" s="3"/>
      <c r="M124" s="3"/>
      <c r="N124" s="3"/>
      <c r="O124" s="3"/>
      <c r="P124" s="3"/>
      <c r="Q124" s="3"/>
    </row>
    <row r="125" spans="1:17" ht="60" customHeight="1" x14ac:dyDescent="0.25">
      <c r="A125" s="9">
        <f>IF(F125="","",ROW()-19-COUNTBLANK($F$20:F125))</f>
        <v>88</v>
      </c>
      <c r="B125" s="4" t="s">
        <v>122</v>
      </c>
      <c r="C125" s="4" t="s">
        <v>3302</v>
      </c>
      <c r="D125" s="4"/>
      <c r="E125" s="7" t="s">
        <v>3303</v>
      </c>
      <c r="F125" s="7" t="s">
        <v>2503</v>
      </c>
      <c r="G125" s="3" t="s">
        <v>50</v>
      </c>
      <c r="H125" s="3"/>
      <c r="I125" s="3"/>
      <c r="J125" s="3"/>
      <c r="K125" s="3"/>
      <c r="L125" s="3"/>
      <c r="M125" s="3"/>
      <c r="N125" s="3"/>
      <c r="O125" s="3"/>
      <c r="P125" s="3"/>
      <c r="Q125" s="3"/>
    </row>
    <row r="126" spans="1:17" ht="20.100000000000001" customHeight="1" x14ac:dyDescent="0.25">
      <c r="A126" s="9" t="str">
        <f>IF(F126="","",ROW()-19-COUNTBLANK($F$20:F126))</f>
        <v/>
      </c>
      <c r="B126" s="12" t="s">
        <v>2504</v>
      </c>
      <c r="C126" s="12"/>
      <c r="D126" s="12"/>
      <c r="E126" s="12"/>
      <c r="F126" s="12"/>
      <c r="G126" s="12"/>
      <c r="H126" s="12"/>
      <c r="I126" s="12"/>
      <c r="J126" s="12"/>
      <c r="K126" s="12"/>
      <c r="L126" s="12"/>
      <c r="M126" s="12"/>
      <c r="N126" s="12"/>
      <c r="O126" s="12"/>
      <c r="P126" s="12"/>
      <c r="Q126" s="12"/>
    </row>
    <row r="127" spans="1:17" ht="60" customHeight="1" x14ac:dyDescent="0.25">
      <c r="A127" s="9">
        <f>IF(F127="","",ROW()-19-COUNTBLANK($F$20:F127))</f>
        <v>89</v>
      </c>
      <c r="B127" s="4" t="s">
        <v>46</v>
      </c>
      <c r="C127" s="4" t="s">
        <v>2505</v>
      </c>
      <c r="D127" s="4"/>
      <c r="E127" s="7" t="s">
        <v>3304</v>
      </c>
      <c r="F127" s="7" t="s">
        <v>2507</v>
      </c>
      <c r="G127" s="3" t="s">
        <v>50</v>
      </c>
      <c r="H127" s="3"/>
      <c r="I127" s="3"/>
      <c r="J127" s="3"/>
      <c r="K127" s="3"/>
      <c r="L127" s="3"/>
      <c r="M127" s="3"/>
      <c r="N127" s="3"/>
      <c r="O127" s="3"/>
      <c r="P127" s="3"/>
      <c r="Q127" s="3"/>
    </row>
    <row r="128" spans="1:17" ht="60" customHeight="1" x14ac:dyDescent="0.25">
      <c r="A128" s="9">
        <f>IF(F128="","",ROW()-19-COUNTBLANK($F$20:F128))</f>
        <v>90</v>
      </c>
      <c r="B128" s="4" t="s">
        <v>51</v>
      </c>
      <c r="C128" s="4" t="s">
        <v>52</v>
      </c>
      <c r="D128" s="4"/>
      <c r="E128" s="7" t="s">
        <v>3305</v>
      </c>
      <c r="F128" s="7" t="s">
        <v>54</v>
      </c>
      <c r="G128" s="3" t="s">
        <v>55</v>
      </c>
      <c r="H128" s="3"/>
      <c r="I128" s="3"/>
      <c r="J128" s="3"/>
      <c r="K128" s="3"/>
      <c r="L128" s="3"/>
      <c r="M128" s="3"/>
      <c r="N128" s="3"/>
      <c r="O128" s="3"/>
      <c r="P128" s="3"/>
      <c r="Q128" s="3"/>
    </row>
    <row r="129" spans="1:17" ht="60" customHeight="1" x14ac:dyDescent="0.25">
      <c r="A129" s="9">
        <f>IF(F129="","",ROW()-19-COUNTBLANK($F$20:F129))</f>
        <v>91</v>
      </c>
      <c r="B129" s="4" t="s">
        <v>56</v>
      </c>
      <c r="C129" s="4" t="s">
        <v>57</v>
      </c>
      <c r="D129" s="4"/>
      <c r="E129" s="7" t="s">
        <v>3306</v>
      </c>
      <c r="F129" s="7" t="s">
        <v>2510</v>
      </c>
      <c r="G129" s="3" t="s">
        <v>55</v>
      </c>
      <c r="H129" s="3"/>
      <c r="I129" s="3"/>
      <c r="J129" s="3"/>
      <c r="K129" s="3"/>
      <c r="L129" s="3"/>
      <c r="M129" s="3"/>
      <c r="N129" s="3"/>
      <c r="O129" s="3"/>
      <c r="P129" s="3"/>
      <c r="Q129" s="3"/>
    </row>
    <row r="130" spans="1:17" ht="60" customHeight="1" x14ac:dyDescent="0.25">
      <c r="A130" s="9">
        <f>IF(F130="","",ROW()-19-COUNTBLANK($F$20:F130))</f>
        <v>92</v>
      </c>
      <c r="B130" s="4" t="s">
        <v>60</v>
      </c>
      <c r="C130" s="4" t="s">
        <v>61</v>
      </c>
      <c r="D130" s="4"/>
      <c r="E130" s="7" t="s">
        <v>3307</v>
      </c>
      <c r="F130" s="7" t="s">
        <v>63</v>
      </c>
      <c r="G130" s="3" t="s">
        <v>55</v>
      </c>
      <c r="H130" s="3"/>
      <c r="I130" s="3"/>
      <c r="J130" s="3"/>
      <c r="K130" s="3"/>
      <c r="L130" s="3"/>
      <c r="M130" s="3"/>
      <c r="N130" s="3"/>
      <c r="O130" s="3"/>
      <c r="P130" s="3"/>
      <c r="Q130" s="3"/>
    </row>
    <row r="131" spans="1:17" ht="60" customHeight="1" x14ac:dyDescent="0.25">
      <c r="A131" s="9">
        <f>IF(F131="","",ROW()-19-COUNTBLANK($F$20:F131))</f>
        <v>93</v>
      </c>
      <c r="B131" s="4" t="s">
        <v>64</v>
      </c>
      <c r="C131" s="4" t="s">
        <v>65</v>
      </c>
      <c r="D131" s="4"/>
      <c r="E131" s="7" t="s">
        <v>3308</v>
      </c>
      <c r="F131" s="7" t="s">
        <v>2513</v>
      </c>
      <c r="G131" s="3" t="s">
        <v>55</v>
      </c>
      <c r="H131" s="3"/>
      <c r="I131" s="3"/>
      <c r="J131" s="3"/>
      <c r="K131" s="3"/>
      <c r="L131" s="3"/>
      <c r="M131" s="3"/>
      <c r="N131" s="3"/>
      <c r="O131" s="3"/>
      <c r="P131" s="3"/>
      <c r="Q131" s="3"/>
    </row>
    <row r="132" spans="1:17" ht="60" customHeight="1" x14ac:dyDescent="0.25">
      <c r="A132" s="9">
        <f>IF(F132="","",ROW()-19-COUNTBLANK($F$20:F132))</f>
        <v>94</v>
      </c>
      <c r="B132" s="4" t="s">
        <v>68</v>
      </c>
      <c r="C132" s="4" t="s">
        <v>69</v>
      </c>
      <c r="D132" s="4" t="s">
        <v>70</v>
      </c>
      <c r="E132" s="7" t="s">
        <v>3309</v>
      </c>
      <c r="F132" s="7" t="s">
        <v>72</v>
      </c>
      <c r="G132" s="3" t="s">
        <v>73</v>
      </c>
      <c r="H132" s="3"/>
      <c r="I132" s="3"/>
      <c r="J132" s="3"/>
      <c r="K132" s="3"/>
      <c r="L132" s="3"/>
      <c r="M132" s="3"/>
      <c r="N132" s="3"/>
      <c r="O132" s="3"/>
      <c r="P132" s="3"/>
      <c r="Q132" s="3"/>
    </row>
    <row r="133" spans="1:17" ht="60" customHeight="1" x14ac:dyDescent="0.25">
      <c r="A133" s="9">
        <f>IF(F133="","",ROW()-19-COUNTBLANK($F$20:F133))</f>
        <v>95</v>
      </c>
      <c r="B133" s="4" t="s">
        <v>2515</v>
      </c>
      <c r="C133" s="4" t="s">
        <v>2516</v>
      </c>
      <c r="D133" s="4"/>
      <c r="E133" s="7" t="s">
        <v>3310</v>
      </c>
      <c r="F133" s="7" t="s">
        <v>2518</v>
      </c>
      <c r="G133" s="3" t="s">
        <v>50</v>
      </c>
      <c r="H133" s="3"/>
      <c r="I133" s="3"/>
      <c r="J133" s="3"/>
      <c r="K133" s="3"/>
      <c r="L133" s="3"/>
      <c r="M133" s="3"/>
      <c r="N133" s="3"/>
      <c r="O133" s="3"/>
      <c r="P133" s="3"/>
      <c r="Q133" s="3"/>
    </row>
    <row r="134" spans="1:17" ht="20.100000000000001" customHeight="1" x14ac:dyDescent="0.25">
      <c r="A134" s="9" t="str">
        <f>IF(F134="","",ROW()-19-COUNTBLANK($F$20:F134))</f>
        <v/>
      </c>
      <c r="B134" s="12" t="s">
        <v>2519</v>
      </c>
      <c r="C134" s="12"/>
      <c r="D134" s="12"/>
      <c r="E134" s="12"/>
      <c r="F134" s="12"/>
      <c r="G134" s="12"/>
      <c r="H134" s="12"/>
      <c r="I134" s="12"/>
      <c r="J134" s="12"/>
      <c r="K134" s="12"/>
      <c r="L134" s="12"/>
      <c r="M134" s="12"/>
      <c r="N134" s="12"/>
      <c r="O134" s="12"/>
      <c r="P134" s="12"/>
      <c r="Q134" s="12"/>
    </row>
    <row r="135" spans="1:17" ht="60" customHeight="1" x14ac:dyDescent="0.25">
      <c r="A135" s="9">
        <f>IF(F135="","",ROW()-19-COUNTBLANK($F$20:F135))</f>
        <v>96</v>
      </c>
      <c r="B135" s="4" t="s">
        <v>216</v>
      </c>
      <c r="C135" s="4" t="s">
        <v>2520</v>
      </c>
      <c r="D135" s="4"/>
      <c r="E135" s="7" t="s">
        <v>3311</v>
      </c>
      <c r="F135" s="7" t="s">
        <v>2522</v>
      </c>
      <c r="G135" s="3" t="s">
        <v>55</v>
      </c>
      <c r="H135" s="3"/>
      <c r="I135" s="3"/>
      <c r="J135" s="3"/>
      <c r="K135" s="3"/>
      <c r="L135" s="3"/>
      <c r="M135" s="3"/>
      <c r="N135" s="3"/>
      <c r="O135" s="3"/>
      <c r="P135" s="3"/>
      <c r="Q135" s="3"/>
    </row>
    <row r="136" spans="1:17" ht="60" customHeight="1" x14ac:dyDescent="0.25">
      <c r="A136" s="9">
        <f>IF(F136="","",ROW()-19-COUNTBLANK($F$20:F136))</f>
        <v>97</v>
      </c>
      <c r="B136" s="4" t="s">
        <v>132</v>
      </c>
      <c r="C136" s="4" t="s">
        <v>2523</v>
      </c>
      <c r="D136" s="4"/>
      <c r="E136" s="7" t="s">
        <v>3311</v>
      </c>
      <c r="F136" s="7" t="s">
        <v>2524</v>
      </c>
      <c r="G136" s="3" t="s">
        <v>55</v>
      </c>
      <c r="H136" s="3"/>
      <c r="I136" s="3"/>
      <c r="J136" s="3"/>
      <c r="K136" s="3"/>
      <c r="L136" s="3"/>
      <c r="M136" s="3"/>
      <c r="N136" s="3"/>
      <c r="O136" s="3"/>
      <c r="P136" s="3"/>
      <c r="Q136" s="3"/>
    </row>
    <row r="137" spans="1:17" ht="60" customHeight="1" x14ac:dyDescent="0.25">
      <c r="A137" s="9">
        <f>IF(F137="","",ROW()-19-COUNTBLANK($F$20:F137))</f>
        <v>98</v>
      </c>
      <c r="B137" s="4" t="s">
        <v>465</v>
      </c>
      <c r="C137" s="4" t="s">
        <v>2525</v>
      </c>
      <c r="D137" s="4"/>
      <c r="E137" s="7" t="s">
        <v>3311</v>
      </c>
      <c r="F137" s="7" t="s">
        <v>2526</v>
      </c>
      <c r="G137" s="3" t="s">
        <v>73</v>
      </c>
      <c r="H137" s="3"/>
      <c r="I137" s="3"/>
      <c r="J137" s="3"/>
      <c r="K137" s="3"/>
      <c r="L137" s="3"/>
      <c r="M137" s="3"/>
      <c r="N137" s="3"/>
      <c r="O137" s="3"/>
      <c r="P137" s="3"/>
      <c r="Q137" s="3"/>
    </row>
    <row r="138" spans="1:17" ht="60" customHeight="1" x14ac:dyDescent="0.25">
      <c r="A138" s="9">
        <f>IF(F138="","",ROW()-19-COUNTBLANK($F$20:F138))</f>
        <v>99</v>
      </c>
      <c r="B138" s="4" t="s">
        <v>469</v>
      </c>
      <c r="C138" s="4" t="s">
        <v>2527</v>
      </c>
      <c r="D138" s="4" t="s">
        <v>2528</v>
      </c>
      <c r="E138" s="7" t="s">
        <v>3312</v>
      </c>
      <c r="F138" s="7" t="s">
        <v>2530</v>
      </c>
      <c r="G138" s="3" t="s">
        <v>50</v>
      </c>
      <c r="H138" s="3"/>
      <c r="I138" s="3"/>
      <c r="J138" s="3"/>
      <c r="K138" s="3"/>
      <c r="L138" s="3"/>
      <c r="M138" s="3"/>
      <c r="N138" s="3"/>
      <c r="O138" s="3"/>
      <c r="P138" s="3"/>
      <c r="Q138" s="3"/>
    </row>
    <row r="139" spans="1:17" ht="60" customHeight="1" x14ac:dyDescent="0.25">
      <c r="A139" s="9">
        <f>IF(F139="","",ROW()-19-COUNTBLANK($F$20:F139))</f>
        <v>100</v>
      </c>
      <c r="B139" s="17" t="s">
        <v>150</v>
      </c>
      <c r="C139" s="17" t="s">
        <v>162</v>
      </c>
      <c r="D139" s="4" t="s">
        <v>2531</v>
      </c>
      <c r="E139" s="7" t="s">
        <v>3313</v>
      </c>
      <c r="F139" s="7" t="s">
        <v>2533</v>
      </c>
      <c r="G139" s="3" t="s">
        <v>50</v>
      </c>
      <c r="H139" s="3"/>
      <c r="I139" s="3"/>
      <c r="J139" s="3"/>
      <c r="K139" s="3"/>
      <c r="L139" s="3"/>
      <c r="M139" s="3"/>
      <c r="N139" s="3"/>
      <c r="O139" s="3"/>
      <c r="P139" s="3"/>
      <c r="Q139" s="3"/>
    </row>
    <row r="140" spans="1:17" ht="60" customHeight="1" x14ac:dyDescent="0.25">
      <c r="A140" s="9">
        <f>IF(F140="","",ROW()-19-COUNTBLANK($F$20:F140))</f>
        <v>101</v>
      </c>
      <c r="B140" s="18"/>
      <c r="C140" s="18"/>
      <c r="D140" s="4" t="s">
        <v>2534</v>
      </c>
      <c r="E140" s="7" t="s">
        <v>3314</v>
      </c>
      <c r="F140" s="7" t="s">
        <v>2536</v>
      </c>
      <c r="G140" s="3" t="s">
        <v>50</v>
      </c>
      <c r="H140" s="3"/>
      <c r="I140" s="3"/>
      <c r="J140" s="3"/>
      <c r="K140" s="3"/>
      <c r="L140" s="3"/>
      <c r="M140" s="3"/>
      <c r="N140" s="3"/>
      <c r="O140" s="3"/>
      <c r="P140" s="3"/>
      <c r="Q140" s="3"/>
    </row>
    <row r="141" spans="1:17" ht="60" customHeight="1" x14ac:dyDescent="0.25">
      <c r="A141" s="9">
        <f>IF(F141="","",ROW()-19-COUNTBLANK($F$20:F141))</f>
        <v>102</v>
      </c>
      <c r="B141" s="18"/>
      <c r="C141" s="19"/>
      <c r="D141" s="4" t="s">
        <v>2537</v>
      </c>
      <c r="E141" s="7" t="s">
        <v>3315</v>
      </c>
      <c r="F141" s="7" t="s">
        <v>2539</v>
      </c>
      <c r="G141" s="3" t="s">
        <v>50</v>
      </c>
      <c r="H141" s="3"/>
      <c r="I141" s="3"/>
      <c r="J141" s="3"/>
      <c r="K141" s="3"/>
      <c r="L141" s="3"/>
      <c r="M141" s="3"/>
      <c r="N141" s="3"/>
      <c r="O141" s="3"/>
      <c r="P141" s="3"/>
      <c r="Q141" s="3"/>
    </row>
    <row r="142" spans="1:17" ht="60" customHeight="1" x14ac:dyDescent="0.25">
      <c r="A142" s="9">
        <f>IF(F142="","",ROW()-19-COUNTBLANK($F$20:F142))</f>
        <v>103</v>
      </c>
      <c r="B142" s="18"/>
      <c r="C142" s="17" t="s">
        <v>151</v>
      </c>
      <c r="D142" s="4" t="s">
        <v>2540</v>
      </c>
      <c r="E142" s="7" t="s">
        <v>3316</v>
      </c>
      <c r="F142" s="7" t="s">
        <v>2542</v>
      </c>
      <c r="G142" s="3" t="s">
        <v>50</v>
      </c>
      <c r="H142" s="3"/>
      <c r="I142" s="3"/>
      <c r="J142" s="3"/>
      <c r="K142" s="3"/>
      <c r="L142" s="3"/>
      <c r="M142" s="3"/>
      <c r="N142" s="3"/>
      <c r="O142" s="3"/>
      <c r="P142" s="3"/>
      <c r="Q142" s="3"/>
    </row>
    <row r="143" spans="1:17" ht="60" customHeight="1" x14ac:dyDescent="0.25">
      <c r="A143" s="9">
        <f>IF(F143="","",ROW()-19-COUNTBLANK($F$20:F143))</f>
        <v>104</v>
      </c>
      <c r="B143" s="18"/>
      <c r="C143" s="18"/>
      <c r="D143" s="4" t="s">
        <v>2543</v>
      </c>
      <c r="E143" s="7" t="s">
        <v>3317</v>
      </c>
      <c r="F143" s="7" t="s">
        <v>2545</v>
      </c>
      <c r="G143" s="3" t="s">
        <v>55</v>
      </c>
      <c r="H143" s="3"/>
      <c r="I143" s="3"/>
      <c r="J143" s="3"/>
      <c r="K143" s="3"/>
      <c r="L143" s="3"/>
      <c r="M143" s="3"/>
      <c r="N143" s="3"/>
      <c r="O143" s="3"/>
      <c r="P143" s="3"/>
      <c r="Q143" s="3"/>
    </row>
    <row r="144" spans="1:17" ht="60" customHeight="1" x14ac:dyDescent="0.25">
      <c r="A144" s="9">
        <f>IF(F144="","",ROW()-19-COUNTBLANK($F$20:F144))</f>
        <v>105</v>
      </c>
      <c r="B144" s="18"/>
      <c r="C144" s="18"/>
      <c r="D144" s="4" t="s">
        <v>2546</v>
      </c>
      <c r="E144" s="7" t="s">
        <v>3318</v>
      </c>
      <c r="F144" s="7" t="s">
        <v>2548</v>
      </c>
      <c r="G144" s="3" t="s">
        <v>55</v>
      </c>
      <c r="H144" s="3"/>
      <c r="I144" s="3"/>
      <c r="J144" s="3"/>
      <c r="K144" s="3"/>
      <c r="L144" s="3"/>
      <c r="M144" s="3"/>
      <c r="N144" s="3"/>
      <c r="O144" s="3"/>
      <c r="P144" s="3"/>
      <c r="Q144" s="3"/>
    </row>
    <row r="145" spans="1:17" ht="60" customHeight="1" x14ac:dyDescent="0.25">
      <c r="A145" s="9">
        <f>IF(F145="","",ROW()-19-COUNTBLANK($F$20:F145))</f>
        <v>106</v>
      </c>
      <c r="B145" s="18"/>
      <c r="C145" s="19"/>
      <c r="D145" s="4" t="s">
        <v>2549</v>
      </c>
      <c r="E145" s="7" t="s">
        <v>3319</v>
      </c>
      <c r="F145" s="7" t="s">
        <v>2551</v>
      </c>
      <c r="G145" s="3" t="s">
        <v>55</v>
      </c>
      <c r="H145" s="3"/>
      <c r="I145" s="3"/>
      <c r="J145" s="3"/>
      <c r="K145" s="3"/>
      <c r="L145" s="3"/>
      <c r="M145" s="3"/>
      <c r="N145" s="3"/>
      <c r="O145" s="3"/>
      <c r="P145" s="3"/>
      <c r="Q145" s="3"/>
    </row>
    <row r="146" spans="1:17" ht="60" customHeight="1" x14ac:dyDescent="0.25">
      <c r="A146" s="9">
        <f>IF(F146="","",ROW()-19-COUNTBLANK($F$20:F146))</f>
        <v>107</v>
      </c>
      <c r="B146" s="18"/>
      <c r="C146" s="17" t="s">
        <v>2552</v>
      </c>
      <c r="D146" s="4" t="s">
        <v>2553</v>
      </c>
      <c r="E146" s="7" t="s">
        <v>3320</v>
      </c>
      <c r="F146" s="7" t="s">
        <v>2533</v>
      </c>
      <c r="G146" s="3" t="s">
        <v>55</v>
      </c>
      <c r="H146" s="3"/>
      <c r="I146" s="3"/>
      <c r="J146" s="3"/>
      <c r="K146" s="3"/>
      <c r="L146" s="3"/>
      <c r="M146" s="3"/>
      <c r="N146" s="3"/>
      <c r="O146" s="3"/>
      <c r="P146" s="3"/>
      <c r="Q146" s="3"/>
    </row>
    <row r="147" spans="1:17" ht="60" customHeight="1" x14ac:dyDescent="0.25">
      <c r="A147" s="9">
        <f>IF(F147="","",ROW()-19-COUNTBLANK($F$20:F147))</f>
        <v>108</v>
      </c>
      <c r="B147" s="18"/>
      <c r="C147" s="18"/>
      <c r="D147" s="4" t="s">
        <v>2555</v>
      </c>
      <c r="E147" s="7" t="s">
        <v>3321</v>
      </c>
      <c r="F147" s="7" t="s">
        <v>2533</v>
      </c>
      <c r="G147" s="3" t="s">
        <v>55</v>
      </c>
      <c r="H147" s="3"/>
      <c r="I147" s="3"/>
      <c r="J147" s="3"/>
      <c r="K147" s="3"/>
      <c r="L147" s="3"/>
      <c r="M147" s="3"/>
      <c r="N147" s="3"/>
      <c r="O147" s="3"/>
      <c r="P147" s="3"/>
      <c r="Q147" s="3"/>
    </row>
    <row r="148" spans="1:17" ht="60" customHeight="1" x14ac:dyDescent="0.25">
      <c r="A148" s="9">
        <f>IF(F148="","",ROW()-19-COUNTBLANK($F$20:F148))</f>
        <v>109</v>
      </c>
      <c r="B148" s="18"/>
      <c r="C148" s="18"/>
      <c r="D148" s="4" t="s">
        <v>2557</v>
      </c>
      <c r="E148" s="7" t="s">
        <v>3322</v>
      </c>
      <c r="F148" s="7" t="s">
        <v>2533</v>
      </c>
      <c r="G148" s="3" t="s">
        <v>55</v>
      </c>
      <c r="H148" s="3"/>
      <c r="I148" s="3"/>
      <c r="J148" s="3"/>
      <c r="K148" s="3"/>
      <c r="L148" s="3"/>
      <c r="M148" s="3"/>
      <c r="N148" s="3"/>
      <c r="O148" s="3"/>
      <c r="P148" s="3"/>
      <c r="Q148" s="3"/>
    </row>
    <row r="149" spans="1:17" ht="60" customHeight="1" x14ac:dyDescent="0.25">
      <c r="A149" s="9">
        <f>IF(F149="","",ROW()-19-COUNTBLANK($F$20:F149))</f>
        <v>110</v>
      </c>
      <c r="B149" s="18"/>
      <c r="C149" s="18"/>
      <c r="D149" s="4" t="s">
        <v>2559</v>
      </c>
      <c r="E149" s="7" t="s">
        <v>3323</v>
      </c>
      <c r="F149" s="7" t="s">
        <v>2533</v>
      </c>
      <c r="G149" s="3" t="s">
        <v>55</v>
      </c>
      <c r="H149" s="3"/>
      <c r="I149" s="3"/>
      <c r="J149" s="3"/>
      <c r="K149" s="3"/>
      <c r="L149" s="3"/>
      <c r="M149" s="3"/>
      <c r="N149" s="3"/>
      <c r="O149" s="3"/>
      <c r="P149" s="3"/>
      <c r="Q149" s="3"/>
    </row>
    <row r="150" spans="1:17" ht="60" customHeight="1" x14ac:dyDescent="0.25">
      <c r="A150" s="9">
        <f>IF(F150="","",ROW()-19-COUNTBLANK($F$20:F150))</f>
        <v>111</v>
      </c>
      <c r="B150" s="18"/>
      <c r="C150" s="18"/>
      <c r="D150" s="4" t="s">
        <v>2561</v>
      </c>
      <c r="E150" s="7" t="s">
        <v>3324</v>
      </c>
      <c r="F150" s="7" t="s">
        <v>2533</v>
      </c>
      <c r="G150" s="3" t="s">
        <v>55</v>
      </c>
      <c r="H150" s="3"/>
      <c r="I150" s="3"/>
      <c r="J150" s="3"/>
      <c r="K150" s="3"/>
      <c r="L150" s="3"/>
      <c r="M150" s="3"/>
      <c r="N150" s="3"/>
      <c r="O150" s="3"/>
      <c r="P150" s="3"/>
      <c r="Q150" s="3"/>
    </row>
    <row r="151" spans="1:17" ht="60" customHeight="1" x14ac:dyDescent="0.25">
      <c r="A151" s="9">
        <f>IF(F151="","",ROW()-19-COUNTBLANK($F$20:F151))</f>
        <v>112</v>
      </c>
      <c r="B151" s="18"/>
      <c r="C151" s="19"/>
      <c r="D151" s="4" t="s">
        <v>2563</v>
      </c>
      <c r="E151" s="7" t="s">
        <v>3325</v>
      </c>
      <c r="F151" s="7" t="s">
        <v>2533</v>
      </c>
      <c r="G151" s="3" t="s">
        <v>55</v>
      </c>
      <c r="H151" s="3"/>
      <c r="I151" s="3"/>
      <c r="J151" s="3"/>
      <c r="K151" s="3"/>
      <c r="L151" s="3"/>
      <c r="M151" s="3"/>
      <c r="N151" s="3"/>
      <c r="O151" s="3"/>
      <c r="P151" s="3"/>
      <c r="Q151" s="3"/>
    </row>
    <row r="152" spans="1:17" ht="60" customHeight="1" x14ac:dyDescent="0.25">
      <c r="A152" s="9">
        <f>IF(F152="","",ROW()-19-COUNTBLANK($F$20:F152))</f>
        <v>113</v>
      </c>
      <c r="B152" s="18"/>
      <c r="C152" s="17" t="s">
        <v>2565</v>
      </c>
      <c r="D152" s="4" t="s">
        <v>2566</v>
      </c>
      <c r="E152" s="7" t="s">
        <v>3326</v>
      </c>
      <c r="F152" s="7" t="s">
        <v>2568</v>
      </c>
      <c r="G152" s="3" t="s">
        <v>50</v>
      </c>
      <c r="H152" s="3"/>
      <c r="I152" s="3"/>
      <c r="J152" s="3"/>
      <c r="K152" s="3"/>
      <c r="L152" s="3"/>
      <c r="M152" s="3"/>
      <c r="N152" s="3"/>
      <c r="O152" s="3"/>
      <c r="P152" s="3"/>
      <c r="Q152" s="3"/>
    </row>
    <row r="153" spans="1:17" ht="60" customHeight="1" x14ac:dyDescent="0.25">
      <c r="A153" s="9">
        <f>IF(F153="","",ROW()-19-COUNTBLANK($F$20:F153))</f>
        <v>114</v>
      </c>
      <c r="B153" s="18"/>
      <c r="C153" s="18"/>
      <c r="D153" s="4" t="s">
        <v>2569</v>
      </c>
      <c r="E153" s="7" t="s">
        <v>3327</v>
      </c>
      <c r="F153" s="7" t="s">
        <v>2571</v>
      </c>
      <c r="G153" s="3" t="s">
        <v>50</v>
      </c>
      <c r="H153" s="3"/>
      <c r="I153" s="3"/>
      <c r="J153" s="3"/>
      <c r="K153" s="3"/>
      <c r="L153" s="3"/>
      <c r="M153" s="3"/>
      <c r="N153" s="3"/>
      <c r="O153" s="3"/>
      <c r="P153" s="3"/>
      <c r="Q153" s="3"/>
    </row>
    <row r="154" spans="1:17" ht="60" customHeight="1" x14ac:dyDescent="0.25">
      <c r="A154" s="9">
        <f>IF(F154="","",ROW()-19-COUNTBLANK($F$20:F154))</f>
        <v>115</v>
      </c>
      <c r="B154" s="18"/>
      <c r="C154" s="18"/>
      <c r="D154" s="4" t="s">
        <v>2572</v>
      </c>
      <c r="E154" s="7" t="s">
        <v>3328</v>
      </c>
      <c r="F154" s="7" t="s">
        <v>2574</v>
      </c>
      <c r="G154" s="3" t="s">
        <v>55</v>
      </c>
      <c r="H154" s="3"/>
      <c r="I154" s="3"/>
      <c r="J154" s="3"/>
      <c r="K154" s="3"/>
      <c r="L154" s="3"/>
      <c r="M154" s="3"/>
      <c r="N154" s="3"/>
      <c r="O154" s="3"/>
      <c r="P154" s="3"/>
      <c r="Q154" s="3"/>
    </row>
    <row r="155" spans="1:17" ht="60" customHeight="1" x14ac:dyDescent="0.25">
      <c r="A155" s="9">
        <f>IF(F155="","",ROW()-19-COUNTBLANK($F$20:F155))</f>
        <v>116</v>
      </c>
      <c r="B155" s="19"/>
      <c r="C155" s="19"/>
      <c r="D155" s="4" t="s">
        <v>2575</v>
      </c>
      <c r="E155" s="7" t="s">
        <v>3329</v>
      </c>
      <c r="F155" s="7" t="s">
        <v>2577</v>
      </c>
      <c r="G155" s="3" t="s">
        <v>50</v>
      </c>
      <c r="H155" s="3"/>
      <c r="I155" s="3"/>
      <c r="J155" s="3"/>
      <c r="K155" s="3"/>
      <c r="L155" s="3"/>
      <c r="M155" s="3"/>
      <c r="N155" s="3"/>
      <c r="O155" s="3"/>
      <c r="P155" s="3"/>
      <c r="Q155" s="3"/>
    </row>
    <row r="156" spans="1:17" ht="60" customHeight="1" x14ac:dyDescent="0.25">
      <c r="A156" s="9">
        <f>IF(F156="","",ROW()-19-COUNTBLANK($F$20:F156))</f>
        <v>117</v>
      </c>
      <c r="B156" s="17" t="s">
        <v>186</v>
      </c>
      <c r="C156" s="17" t="s">
        <v>198</v>
      </c>
      <c r="D156" s="4" t="s">
        <v>2531</v>
      </c>
      <c r="E156" s="7" t="s">
        <v>3330</v>
      </c>
      <c r="F156" s="7" t="s">
        <v>2533</v>
      </c>
      <c r="G156" s="3" t="s">
        <v>50</v>
      </c>
      <c r="H156" s="3"/>
      <c r="I156" s="3"/>
      <c r="J156" s="3"/>
      <c r="K156" s="3"/>
      <c r="L156" s="3"/>
      <c r="M156" s="3"/>
      <c r="N156" s="3"/>
      <c r="O156" s="3"/>
      <c r="P156" s="3"/>
      <c r="Q156" s="3"/>
    </row>
    <row r="157" spans="1:17" ht="60" customHeight="1" x14ac:dyDescent="0.25">
      <c r="A157" s="9">
        <f>IF(F157="","",ROW()-19-COUNTBLANK($F$20:F157))</f>
        <v>118</v>
      </c>
      <c r="B157" s="18"/>
      <c r="C157" s="18"/>
      <c r="D157" s="4" t="s">
        <v>2534</v>
      </c>
      <c r="E157" s="7" t="s">
        <v>3331</v>
      </c>
      <c r="F157" s="7" t="s">
        <v>2580</v>
      </c>
      <c r="G157" s="3" t="s">
        <v>50</v>
      </c>
      <c r="H157" s="3"/>
      <c r="I157" s="3"/>
      <c r="J157" s="3"/>
      <c r="K157" s="3"/>
      <c r="L157" s="3"/>
      <c r="M157" s="3"/>
      <c r="N157" s="3"/>
      <c r="O157" s="3"/>
      <c r="P157" s="3"/>
      <c r="Q157" s="3"/>
    </row>
    <row r="158" spans="1:17" ht="60" customHeight="1" x14ac:dyDescent="0.25">
      <c r="A158" s="9">
        <f>IF(F158="","",ROW()-19-COUNTBLANK($F$20:F158))</f>
        <v>119</v>
      </c>
      <c r="B158" s="18"/>
      <c r="C158" s="19"/>
      <c r="D158" s="4" t="s">
        <v>2537</v>
      </c>
      <c r="E158" s="7" t="s">
        <v>3332</v>
      </c>
      <c r="F158" s="7" t="s">
        <v>2582</v>
      </c>
      <c r="G158" s="3" t="s">
        <v>50</v>
      </c>
      <c r="H158" s="3"/>
      <c r="I158" s="3"/>
      <c r="J158" s="3"/>
      <c r="K158" s="3"/>
      <c r="L158" s="3"/>
      <c r="M158" s="3"/>
      <c r="N158" s="3"/>
      <c r="O158" s="3"/>
      <c r="P158" s="3"/>
      <c r="Q158" s="3"/>
    </row>
    <row r="159" spans="1:17" ht="60" customHeight="1" x14ac:dyDescent="0.25">
      <c r="A159" s="9">
        <f>IF(F159="","",ROW()-19-COUNTBLANK($F$20:F159))</f>
        <v>120</v>
      </c>
      <c r="B159" s="18"/>
      <c r="C159" s="17" t="s">
        <v>187</v>
      </c>
      <c r="D159" s="4" t="s">
        <v>2583</v>
      </c>
      <c r="E159" s="7" t="s">
        <v>3333</v>
      </c>
      <c r="F159" s="7" t="s">
        <v>2585</v>
      </c>
      <c r="G159" s="3" t="s">
        <v>50</v>
      </c>
      <c r="H159" s="3"/>
      <c r="I159" s="3"/>
      <c r="J159" s="3"/>
      <c r="K159" s="3"/>
      <c r="L159" s="3"/>
      <c r="M159" s="3"/>
      <c r="N159" s="3"/>
      <c r="O159" s="3"/>
      <c r="P159" s="3"/>
      <c r="Q159" s="3"/>
    </row>
    <row r="160" spans="1:17" ht="60" customHeight="1" x14ac:dyDescent="0.25">
      <c r="A160" s="9">
        <f>IF(F160="","",ROW()-19-COUNTBLANK($F$20:F160))</f>
        <v>121</v>
      </c>
      <c r="B160" s="18"/>
      <c r="C160" s="18"/>
      <c r="D160" s="4" t="s">
        <v>2586</v>
      </c>
      <c r="E160" s="7" t="s">
        <v>3334</v>
      </c>
      <c r="F160" s="7" t="s">
        <v>2588</v>
      </c>
      <c r="G160" s="3" t="s">
        <v>55</v>
      </c>
      <c r="H160" s="3"/>
      <c r="I160" s="3"/>
      <c r="J160" s="3"/>
      <c r="K160" s="3"/>
      <c r="L160" s="3"/>
      <c r="M160" s="3"/>
      <c r="N160" s="3"/>
      <c r="O160" s="3"/>
      <c r="P160" s="3"/>
      <c r="Q160" s="3"/>
    </row>
    <row r="161" spans="1:17" ht="60" customHeight="1" x14ac:dyDescent="0.25">
      <c r="A161" s="9">
        <f>IF(F161="","",ROW()-19-COUNTBLANK($F$20:F161))</f>
        <v>122</v>
      </c>
      <c r="B161" s="18"/>
      <c r="C161" s="18"/>
      <c r="D161" s="4" t="s">
        <v>2589</v>
      </c>
      <c r="E161" s="7" t="s">
        <v>3335</v>
      </c>
      <c r="F161" s="7" t="s">
        <v>2591</v>
      </c>
      <c r="G161" s="3" t="s">
        <v>55</v>
      </c>
      <c r="H161" s="3"/>
      <c r="I161" s="3"/>
      <c r="J161" s="3"/>
      <c r="K161" s="3"/>
      <c r="L161" s="3"/>
      <c r="M161" s="3"/>
      <c r="N161" s="3"/>
      <c r="O161" s="3"/>
      <c r="P161" s="3"/>
      <c r="Q161" s="3"/>
    </row>
    <row r="162" spans="1:17" ht="60" customHeight="1" x14ac:dyDescent="0.25">
      <c r="A162" s="9">
        <f>IF(F162="","",ROW()-19-COUNTBLANK($F$20:F162))</f>
        <v>123</v>
      </c>
      <c r="B162" s="18"/>
      <c r="C162" s="19"/>
      <c r="D162" s="4" t="s">
        <v>2592</v>
      </c>
      <c r="E162" s="7" t="s">
        <v>3336</v>
      </c>
      <c r="F162" s="7" t="s">
        <v>2591</v>
      </c>
      <c r="G162" s="3" t="s">
        <v>55</v>
      </c>
      <c r="H162" s="3"/>
      <c r="I162" s="3"/>
      <c r="J162" s="3"/>
      <c r="K162" s="3"/>
      <c r="L162" s="3"/>
      <c r="M162" s="3"/>
      <c r="N162" s="3"/>
      <c r="O162" s="3"/>
      <c r="P162" s="3"/>
      <c r="Q162" s="3"/>
    </row>
    <row r="163" spans="1:17" ht="60" customHeight="1" x14ac:dyDescent="0.25">
      <c r="A163" s="9">
        <f>IF(F163="","",ROW()-19-COUNTBLANK($F$20:F163))</f>
        <v>124</v>
      </c>
      <c r="B163" s="18"/>
      <c r="C163" s="17" t="s">
        <v>2594</v>
      </c>
      <c r="D163" s="4" t="s">
        <v>2595</v>
      </c>
      <c r="E163" s="7" t="s">
        <v>3337</v>
      </c>
      <c r="F163" s="7" t="s">
        <v>2533</v>
      </c>
      <c r="G163" s="3" t="s">
        <v>55</v>
      </c>
      <c r="H163" s="3"/>
      <c r="I163" s="3"/>
      <c r="J163" s="3"/>
      <c r="K163" s="3"/>
      <c r="L163" s="3"/>
      <c r="M163" s="3"/>
      <c r="N163" s="3"/>
      <c r="O163" s="3"/>
      <c r="P163" s="3"/>
      <c r="Q163" s="3"/>
    </row>
    <row r="164" spans="1:17" ht="60" customHeight="1" x14ac:dyDescent="0.25">
      <c r="A164" s="9">
        <f>IF(F164="","",ROW()-19-COUNTBLANK($F$20:F164))</f>
        <v>125</v>
      </c>
      <c r="B164" s="18"/>
      <c r="C164" s="18"/>
      <c r="D164" s="4" t="s">
        <v>2597</v>
      </c>
      <c r="E164" s="7" t="s">
        <v>3338</v>
      </c>
      <c r="F164" s="7" t="s">
        <v>2533</v>
      </c>
      <c r="G164" s="3" t="s">
        <v>55</v>
      </c>
      <c r="H164" s="3"/>
      <c r="I164" s="3"/>
      <c r="J164" s="3"/>
      <c r="K164" s="3"/>
      <c r="L164" s="3"/>
      <c r="M164" s="3"/>
      <c r="N164" s="3"/>
      <c r="O164" s="3"/>
      <c r="P164" s="3"/>
      <c r="Q164" s="3"/>
    </row>
    <row r="165" spans="1:17" ht="60" customHeight="1" x14ac:dyDescent="0.25">
      <c r="A165" s="9">
        <f>IF(F165="","",ROW()-19-COUNTBLANK($F$20:F165))</f>
        <v>126</v>
      </c>
      <c r="B165" s="18"/>
      <c r="C165" s="18"/>
      <c r="D165" s="4" t="s">
        <v>2599</v>
      </c>
      <c r="E165" s="7" t="s">
        <v>3339</v>
      </c>
      <c r="F165" s="7" t="s">
        <v>2533</v>
      </c>
      <c r="G165" s="3" t="s">
        <v>55</v>
      </c>
      <c r="H165" s="3"/>
      <c r="I165" s="3"/>
      <c r="J165" s="3"/>
      <c r="K165" s="3"/>
      <c r="L165" s="3"/>
      <c r="M165" s="3"/>
      <c r="N165" s="3"/>
      <c r="O165" s="3"/>
      <c r="P165" s="3"/>
      <c r="Q165" s="3"/>
    </row>
    <row r="166" spans="1:17" ht="60" customHeight="1" x14ac:dyDescent="0.25">
      <c r="A166" s="9">
        <f>IF(F166="","",ROW()-19-COUNTBLANK($F$20:F166))</f>
        <v>127</v>
      </c>
      <c r="B166" s="18"/>
      <c r="C166" s="18"/>
      <c r="D166" s="4" t="s">
        <v>2601</v>
      </c>
      <c r="E166" s="7" t="s">
        <v>3340</v>
      </c>
      <c r="F166" s="7" t="s">
        <v>2533</v>
      </c>
      <c r="G166" s="3" t="s">
        <v>55</v>
      </c>
      <c r="H166" s="3"/>
      <c r="I166" s="3"/>
      <c r="J166" s="3"/>
      <c r="K166" s="3"/>
      <c r="L166" s="3"/>
      <c r="M166" s="3"/>
      <c r="N166" s="3"/>
      <c r="O166" s="3"/>
      <c r="P166" s="3"/>
      <c r="Q166" s="3"/>
    </row>
    <row r="167" spans="1:17" ht="60" customHeight="1" x14ac:dyDescent="0.25">
      <c r="A167" s="9">
        <f>IF(F167="","",ROW()-19-COUNTBLANK($F$20:F167))</f>
        <v>128</v>
      </c>
      <c r="B167" s="18"/>
      <c r="C167" s="18"/>
      <c r="D167" s="4" t="s">
        <v>2603</v>
      </c>
      <c r="E167" s="7" t="s">
        <v>3341</v>
      </c>
      <c r="F167" s="7" t="s">
        <v>2533</v>
      </c>
      <c r="G167" s="3" t="s">
        <v>55</v>
      </c>
      <c r="H167" s="3"/>
      <c r="I167" s="3"/>
      <c r="J167" s="3"/>
      <c r="K167" s="3"/>
      <c r="L167" s="3"/>
      <c r="M167" s="3"/>
      <c r="N167" s="3"/>
      <c r="O167" s="3"/>
      <c r="P167" s="3"/>
      <c r="Q167" s="3"/>
    </row>
    <row r="168" spans="1:17" ht="60" customHeight="1" x14ac:dyDescent="0.25">
      <c r="A168" s="9">
        <f>IF(F168="","",ROW()-19-COUNTBLANK($F$20:F168))</f>
        <v>129</v>
      </c>
      <c r="B168" s="18"/>
      <c r="C168" s="19"/>
      <c r="D168" s="4" t="s">
        <v>2605</v>
      </c>
      <c r="E168" s="7" t="s">
        <v>3342</v>
      </c>
      <c r="F168" s="7" t="s">
        <v>2533</v>
      </c>
      <c r="G168" s="3" t="s">
        <v>55</v>
      </c>
      <c r="H168" s="3"/>
      <c r="I168" s="3"/>
      <c r="J168" s="3"/>
      <c r="K168" s="3"/>
      <c r="L168" s="3"/>
      <c r="M168" s="3"/>
      <c r="N168" s="3"/>
      <c r="O168" s="3"/>
      <c r="P168" s="3"/>
      <c r="Q168" s="3"/>
    </row>
    <row r="169" spans="1:17" ht="60" customHeight="1" x14ac:dyDescent="0.25">
      <c r="A169" s="9">
        <f>IF(F169="","",ROW()-19-COUNTBLANK($F$20:F169))</f>
        <v>130</v>
      </c>
      <c r="B169" s="18"/>
      <c r="C169" s="17" t="s">
        <v>2607</v>
      </c>
      <c r="D169" s="4" t="s">
        <v>2566</v>
      </c>
      <c r="E169" s="7" t="s">
        <v>3343</v>
      </c>
      <c r="F169" s="7" t="s">
        <v>2609</v>
      </c>
      <c r="G169" s="3" t="s">
        <v>50</v>
      </c>
      <c r="H169" s="3"/>
      <c r="I169" s="3"/>
      <c r="J169" s="3"/>
      <c r="K169" s="3"/>
      <c r="L169" s="3"/>
      <c r="M169" s="3"/>
      <c r="N169" s="3"/>
      <c r="O169" s="3"/>
      <c r="P169" s="3"/>
      <c r="Q169" s="3"/>
    </row>
    <row r="170" spans="1:17" ht="60" customHeight="1" x14ac:dyDescent="0.25">
      <c r="A170" s="9">
        <f>IF(F170="","",ROW()-19-COUNTBLANK($F$20:F170))</f>
        <v>131</v>
      </c>
      <c r="B170" s="18"/>
      <c r="C170" s="18"/>
      <c r="D170" s="4" t="s">
        <v>2610</v>
      </c>
      <c r="E170" s="7" t="s">
        <v>3344</v>
      </c>
      <c r="F170" s="7" t="s">
        <v>2612</v>
      </c>
      <c r="G170" s="3" t="s">
        <v>50</v>
      </c>
      <c r="H170" s="3"/>
      <c r="I170" s="3"/>
      <c r="J170" s="3"/>
      <c r="K170" s="3"/>
      <c r="L170" s="3"/>
      <c r="M170" s="3"/>
      <c r="N170" s="3"/>
      <c r="O170" s="3"/>
      <c r="P170" s="3"/>
      <c r="Q170" s="3"/>
    </row>
    <row r="171" spans="1:17" ht="60" customHeight="1" x14ac:dyDescent="0.25">
      <c r="A171" s="9">
        <f>IF(F171="","",ROW()-19-COUNTBLANK($F$20:F171))</f>
        <v>132</v>
      </c>
      <c r="B171" s="18"/>
      <c r="C171" s="18"/>
      <c r="D171" s="4" t="s">
        <v>2613</v>
      </c>
      <c r="E171" s="7" t="s">
        <v>3345</v>
      </c>
      <c r="F171" s="7" t="s">
        <v>2615</v>
      </c>
      <c r="G171" s="3" t="s">
        <v>55</v>
      </c>
      <c r="H171" s="3"/>
      <c r="I171" s="3"/>
      <c r="J171" s="3"/>
      <c r="K171" s="3"/>
      <c r="L171" s="3"/>
      <c r="M171" s="3"/>
      <c r="N171" s="3"/>
      <c r="O171" s="3"/>
      <c r="P171" s="3"/>
      <c r="Q171" s="3"/>
    </row>
    <row r="172" spans="1:17" ht="60" customHeight="1" x14ac:dyDescent="0.25">
      <c r="A172" s="9">
        <f>IF(F172="","",ROW()-19-COUNTBLANK($F$20:F172))</f>
        <v>133</v>
      </c>
      <c r="B172" s="19"/>
      <c r="C172" s="19"/>
      <c r="D172" s="4" t="s">
        <v>2616</v>
      </c>
      <c r="E172" s="7" t="s">
        <v>3346</v>
      </c>
      <c r="F172" s="7" t="s">
        <v>2618</v>
      </c>
      <c r="G172" s="3" t="s">
        <v>50</v>
      </c>
      <c r="H172" s="3"/>
      <c r="I172" s="3"/>
      <c r="J172" s="3"/>
      <c r="K172" s="3"/>
      <c r="L172" s="3"/>
      <c r="M172" s="3"/>
      <c r="N172" s="3"/>
      <c r="O172" s="3"/>
      <c r="P172" s="3"/>
      <c r="Q172" s="3"/>
    </row>
    <row r="173" spans="1:17" ht="60" customHeight="1" x14ac:dyDescent="0.25">
      <c r="A173" s="9">
        <f>IF(F173="","",ROW()-19-COUNTBLANK($F$20:F173))</f>
        <v>134</v>
      </c>
      <c r="B173" s="4" t="s">
        <v>2619</v>
      </c>
      <c r="C173" s="4" t="s">
        <v>2620</v>
      </c>
      <c r="D173" s="4" t="s">
        <v>2621</v>
      </c>
      <c r="E173" s="7" t="s">
        <v>3347</v>
      </c>
      <c r="F173" s="7" t="s">
        <v>2623</v>
      </c>
      <c r="G173" s="3" t="s">
        <v>55</v>
      </c>
      <c r="H173" s="3"/>
      <c r="I173" s="3"/>
      <c r="J173" s="3"/>
      <c r="K173" s="3"/>
      <c r="L173" s="3"/>
      <c r="M173" s="3"/>
      <c r="N173" s="3"/>
      <c r="O173" s="3"/>
      <c r="P173" s="3"/>
      <c r="Q173" s="3"/>
    </row>
    <row r="174" spans="1:17" ht="60" customHeight="1" x14ac:dyDescent="0.25">
      <c r="A174" s="9">
        <f>IF(F174="","",ROW()-19-COUNTBLANK($F$20:F174))</f>
        <v>135</v>
      </c>
      <c r="B174" s="4" t="s">
        <v>2624</v>
      </c>
      <c r="C174" s="4" t="s">
        <v>2625</v>
      </c>
      <c r="D174" s="4" t="s">
        <v>2626</v>
      </c>
      <c r="E174" s="7" t="s">
        <v>3348</v>
      </c>
      <c r="F174" s="7" t="s">
        <v>2628</v>
      </c>
      <c r="G174" s="3" t="s">
        <v>55</v>
      </c>
      <c r="H174" s="3"/>
      <c r="I174" s="3"/>
      <c r="J174" s="3"/>
      <c r="K174" s="3"/>
      <c r="L174" s="3"/>
      <c r="M174" s="3"/>
      <c r="N174" s="3"/>
      <c r="O174" s="3"/>
      <c r="P174" s="3"/>
      <c r="Q174" s="3"/>
    </row>
    <row r="175" spans="1:17" ht="60" customHeight="1" x14ac:dyDescent="0.25">
      <c r="A175" s="9">
        <f>IF(F175="","",ROW()-19-COUNTBLANK($F$20:F175))</f>
        <v>136</v>
      </c>
      <c r="B175" s="4" t="s">
        <v>2629</v>
      </c>
      <c r="C175" s="4" t="s">
        <v>2630</v>
      </c>
      <c r="D175" s="4" t="s">
        <v>2631</v>
      </c>
      <c r="E175" s="7" t="s">
        <v>3349</v>
      </c>
      <c r="F175" s="7" t="s">
        <v>2633</v>
      </c>
      <c r="G175" s="3" t="s">
        <v>73</v>
      </c>
      <c r="H175" s="3"/>
      <c r="I175" s="3"/>
      <c r="J175" s="3"/>
      <c r="K175" s="3"/>
      <c r="L175" s="3"/>
      <c r="M175" s="3"/>
      <c r="N175" s="3"/>
      <c r="O175" s="3"/>
      <c r="P175" s="3"/>
      <c r="Q175" s="3"/>
    </row>
    <row r="176" spans="1:17" ht="20.100000000000001" customHeight="1" x14ac:dyDescent="0.25">
      <c r="A176" s="9" t="str">
        <f>IF(F176="","",ROW()-19-COUNTBLANK($F$20:F176))</f>
        <v/>
      </c>
      <c r="B176" s="12" t="s">
        <v>2634</v>
      </c>
      <c r="C176" s="12"/>
      <c r="D176" s="12"/>
      <c r="E176" s="12"/>
      <c r="F176" s="12"/>
      <c r="G176" s="12"/>
      <c r="H176" s="12"/>
      <c r="I176" s="12"/>
      <c r="J176" s="12"/>
      <c r="K176" s="12"/>
      <c r="L176" s="12"/>
      <c r="M176" s="12"/>
      <c r="N176" s="12"/>
      <c r="O176" s="12"/>
      <c r="P176" s="12"/>
      <c r="Q176" s="12"/>
    </row>
    <row r="177" spans="1:17" ht="60" customHeight="1" x14ac:dyDescent="0.25">
      <c r="A177" s="9">
        <f>IF(F177="","",ROW()-19-COUNTBLANK($F$20:F177))</f>
        <v>137</v>
      </c>
      <c r="B177" s="4" t="s">
        <v>2635</v>
      </c>
      <c r="C177" s="4" t="s">
        <v>2496</v>
      </c>
      <c r="D177" s="4"/>
      <c r="E177" s="7" t="s">
        <v>3350</v>
      </c>
      <c r="F177" s="7" t="s">
        <v>2637</v>
      </c>
      <c r="G177" s="3" t="s">
        <v>55</v>
      </c>
      <c r="H177" s="3"/>
      <c r="I177" s="3"/>
      <c r="J177" s="3"/>
      <c r="K177" s="3"/>
      <c r="L177" s="3"/>
      <c r="M177" s="3"/>
      <c r="N177" s="3"/>
      <c r="O177" s="3"/>
      <c r="P177" s="3"/>
      <c r="Q177" s="3"/>
    </row>
    <row r="178" spans="1:17" ht="60" customHeight="1" x14ac:dyDescent="0.25">
      <c r="A178" s="9">
        <f>IF(F178="","",ROW()-19-COUNTBLANK($F$20:F178))</f>
        <v>138</v>
      </c>
      <c r="B178" s="4" t="s">
        <v>2638</v>
      </c>
      <c r="C178" s="4" t="s">
        <v>2499</v>
      </c>
      <c r="D178" s="4"/>
      <c r="E178" s="7" t="s">
        <v>3351</v>
      </c>
      <c r="F178" s="7" t="s">
        <v>2640</v>
      </c>
      <c r="G178" s="3" t="s">
        <v>55</v>
      </c>
      <c r="H178" s="3"/>
      <c r="I178" s="3"/>
      <c r="J178" s="3"/>
      <c r="K178" s="3"/>
      <c r="L178" s="3"/>
      <c r="M178" s="3"/>
      <c r="N178" s="3"/>
      <c r="O178" s="3"/>
      <c r="P178" s="3"/>
      <c r="Q178" s="3"/>
    </row>
    <row r="179" spans="1:17" ht="60" customHeight="1" x14ac:dyDescent="0.25">
      <c r="A179" s="9">
        <f>IF(F179="","",ROW()-19-COUNTBLANK($F$20:F179))</f>
        <v>139</v>
      </c>
      <c r="B179" s="4" t="s">
        <v>2641</v>
      </c>
      <c r="C179" s="4" t="s">
        <v>2501</v>
      </c>
      <c r="D179" s="4" t="s">
        <v>2642</v>
      </c>
      <c r="E179" s="7" t="s">
        <v>3352</v>
      </c>
      <c r="F179" s="7" t="s">
        <v>3353</v>
      </c>
      <c r="G179" s="3" t="s">
        <v>50</v>
      </c>
      <c r="H179" s="3"/>
      <c r="I179" s="3"/>
      <c r="J179" s="3"/>
      <c r="K179" s="3"/>
      <c r="L179" s="3"/>
      <c r="M179" s="3"/>
      <c r="N179" s="3"/>
      <c r="O179" s="3"/>
      <c r="P179" s="3"/>
      <c r="Q179" s="3"/>
    </row>
    <row r="180" spans="1:17" ht="20.100000000000001" customHeight="1" x14ac:dyDescent="0.25">
      <c r="A180" s="9" t="str">
        <f>IF(F180="","",ROW()-19-COUNTBLANK($F$20:F180))</f>
        <v/>
      </c>
      <c r="B180" s="12" t="s">
        <v>2645</v>
      </c>
      <c r="C180" s="12"/>
      <c r="D180" s="12"/>
      <c r="E180" s="12"/>
      <c r="F180" s="12"/>
      <c r="G180" s="12"/>
      <c r="H180" s="12"/>
      <c r="I180" s="12"/>
      <c r="J180" s="12"/>
      <c r="K180" s="12"/>
      <c r="L180" s="12"/>
      <c r="M180" s="12"/>
      <c r="N180" s="12"/>
      <c r="O180" s="12"/>
      <c r="P180" s="12"/>
      <c r="Q180" s="12"/>
    </row>
    <row r="181" spans="1:17" ht="60" customHeight="1" x14ac:dyDescent="0.25">
      <c r="A181" s="9">
        <f>IF(F181="","",ROW()-19-COUNTBLANK($F$20:F181))</f>
        <v>140</v>
      </c>
      <c r="B181" s="4" t="s">
        <v>2646</v>
      </c>
      <c r="C181" s="4" t="s">
        <v>2478</v>
      </c>
      <c r="D181" s="4"/>
      <c r="E181" s="7" t="s">
        <v>3354</v>
      </c>
      <c r="F181" s="7" t="s">
        <v>2648</v>
      </c>
      <c r="G181" s="3" t="s">
        <v>55</v>
      </c>
      <c r="H181" s="3"/>
      <c r="I181" s="3"/>
      <c r="J181" s="3"/>
      <c r="K181" s="3"/>
      <c r="L181" s="3"/>
      <c r="M181" s="3"/>
      <c r="N181" s="3"/>
      <c r="O181" s="3"/>
      <c r="P181" s="3"/>
      <c r="Q181" s="3"/>
    </row>
    <row r="182" spans="1:17" ht="60" customHeight="1" x14ac:dyDescent="0.25">
      <c r="A182" s="9">
        <f>IF(F182="","",ROW()-19-COUNTBLANK($F$20:F182))</f>
        <v>141</v>
      </c>
      <c r="B182" s="4" t="s">
        <v>2649</v>
      </c>
      <c r="C182" s="4" t="s">
        <v>2481</v>
      </c>
      <c r="D182" s="4"/>
      <c r="E182" s="7" t="s">
        <v>3354</v>
      </c>
      <c r="F182" s="7" t="s">
        <v>2650</v>
      </c>
      <c r="G182" s="3" t="s">
        <v>55</v>
      </c>
      <c r="H182" s="3"/>
      <c r="I182" s="3"/>
      <c r="J182" s="3"/>
      <c r="K182" s="3"/>
      <c r="L182" s="3"/>
      <c r="M182" s="3"/>
      <c r="N182" s="3"/>
      <c r="O182" s="3"/>
      <c r="P182" s="3"/>
      <c r="Q182" s="3"/>
    </row>
    <row r="183" spans="1:17" ht="60" customHeight="1" x14ac:dyDescent="0.25">
      <c r="A183" s="9">
        <f>IF(F183="","",ROW()-19-COUNTBLANK($F$20:F183))</f>
        <v>142</v>
      </c>
      <c r="B183" s="4" t="s">
        <v>2651</v>
      </c>
      <c r="C183" s="4" t="s">
        <v>2483</v>
      </c>
      <c r="D183" s="4" t="s">
        <v>2652</v>
      </c>
      <c r="E183" s="7" t="s">
        <v>3355</v>
      </c>
      <c r="F183" s="7" t="s">
        <v>2654</v>
      </c>
      <c r="G183" s="3" t="s">
        <v>50</v>
      </c>
      <c r="H183" s="3"/>
      <c r="I183" s="3"/>
      <c r="J183" s="3"/>
      <c r="K183" s="3"/>
      <c r="L183" s="3"/>
      <c r="M183" s="3"/>
      <c r="N183" s="3"/>
      <c r="O183" s="3"/>
      <c r="P183" s="3"/>
      <c r="Q183" s="3"/>
    </row>
    <row r="184" spans="1:17" ht="20.100000000000001" customHeight="1" x14ac:dyDescent="0.25">
      <c r="A184" s="9" t="str">
        <f>IF(F184="","",ROW()-19-COUNTBLANK($F$20:F184))</f>
        <v/>
      </c>
      <c r="B184" s="12" t="s">
        <v>2655</v>
      </c>
      <c r="C184" s="12"/>
      <c r="D184" s="12"/>
      <c r="E184" s="12"/>
      <c r="F184" s="12"/>
      <c r="G184" s="12"/>
      <c r="H184" s="12"/>
      <c r="I184" s="12"/>
      <c r="J184" s="12"/>
      <c r="K184" s="12"/>
      <c r="L184" s="12"/>
      <c r="M184" s="12"/>
      <c r="N184" s="12"/>
      <c r="O184" s="12"/>
      <c r="P184" s="12"/>
      <c r="Q184" s="12"/>
    </row>
    <row r="185" spans="1:17" ht="60" customHeight="1" x14ac:dyDescent="0.25">
      <c r="A185" s="9">
        <f>IF(F185="","",ROW()-19-COUNTBLANK($F$20:F185))</f>
        <v>143</v>
      </c>
      <c r="B185" s="4" t="s">
        <v>311</v>
      </c>
      <c r="C185" s="4" t="s">
        <v>312</v>
      </c>
      <c r="D185" s="4"/>
      <c r="E185" s="7" t="s">
        <v>3356</v>
      </c>
      <c r="F185" s="7" t="s">
        <v>2657</v>
      </c>
      <c r="G185" s="3" t="s">
        <v>73</v>
      </c>
      <c r="H185" s="3"/>
      <c r="I185" s="3"/>
      <c r="J185" s="3"/>
      <c r="K185" s="3"/>
      <c r="L185" s="3"/>
      <c r="M185" s="3"/>
      <c r="N185" s="3"/>
      <c r="O185" s="3"/>
      <c r="P185" s="3"/>
      <c r="Q185" s="3"/>
    </row>
    <row r="186" spans="1:17" ht="60" customHeight="1" x14ac:dyDescent="0.25">
      <c r="A186" s="9">
        <f>IF(F186="","",ROW()-19-COUNTBLANK($F$20:F186))</f>
        <v>144</v>
      </c>
      <c r="B186" s="4" t="s">
        <v>315</v>
      </c>
      <c r="C186" s="4" t="s">
        <v>316</v>
      </c>
      <c r="D186" s="4" t="s">
        <v>2658</v>
      </c>
      <c r="E186" s="7" t="s">
        <v>3357</v>
      </c>
      <c r="F186" s="7" t="s">
        <v>2660</v>
      </c>
      <c r="G186" s="3" t="s">
        <v>55</v>
      </c>
      <c r="H186" s="3"/>
      <c r="I186" s="3"/>
      <c r="J186" s="3"/>
      <c r="K186" s="3"/>
      <c r="L186" s="3"/>
      <c r="M186" s="3"/>
      <c r="N186" s="3"/>
      <c r="O186" s="3"/>
      <c r="P186" s="3"/>
      <c r="Q186" s="3"/>
    </row>
    <row r="187" spans="1:17" ht="20.100000000000001" customHeight="1" x14ac:dyDescent="0.25">
      <c r="A187" s="9" t="str">
        <f>IF(F187="","",ROW()-19-COUNTBLANK($F$20:F187))</f>
        <v/>
      </c>
      <c r="B187" s="12" t="s">
        <v>2661</v>
      </c>
      <c r="C187" s="12"/>
      <c r="D187" s="12"/>
      <c r="E187" s="12"/>
      <c r="F187" s="12"/>
      <c r="G187" s="12"/>
      <c r="H187" s="12"/>
      <c r="I187" s="12"/>
      <c r="J187" s="12"/>
      <c r="K187" s="12"/>
      <c r="L187" s="12"/>
      <c r="M187" s="12"/>
      <c r="N187" s="12"/>
      <c r="O187" s="12"/>
      <c r="P187" s="12"/>
      <c r="Q187" s="12"/>
    </row>
    <row r="188" spans="1:17" ht="60" customHeight="1" x14ac:dyDescent="0.25">
      <c r="A188" s="9">
        <f>IF(F188="","",ROW()-19-COUNTBLANK($F$20:F188))</f>
        <v>145</v>
      </c>
      <c r="B188" s="4" t="s">
        <v>46</v>
      </c>
      <c r="C188" s="4" t="s">
        <v>2662</v>
      </c>
      <c r="D188" s="4"/>
      <c r="E188" s="7" t="s">
        <v>3358</v>
      </c>
      <c r="F188" s="7" t="s">
        <v>2664</v>
      </c>
      <c r="G188" s="3" t="s">
        <v>50</v>
      </c>
      <c r="H188" s="3"/>
      <c r="I188" s="3"/>
      <c r="J188" s="3"/>
      <c r="K188" s="3"/>
      <c r="L188" s="3"/>
      <c r="M188" s="3"/>
      <c r="N188" s="3"/>
      <c r="O188" s="3"/>
      <c r="P188" s="3"/>
      <c r="Q188" s="3"/>
    </row>
    <row r="189" spans="1:17" ht="60" customHeight="1" x14ac:dyDescent="0.25">
      <c r="A189" s="9">
        <f>IF(F189="","",ROW()-19-COUNTBLANK($F$20:F189))</f>
        <v>146</v>
      </c>
      <c r="B189" s="4" t="s">
        <v>51</v>
      </c>
      <c r="C189" s="4" t="s">
        <v>52</v>
      </c>
      <c r="D189" s="4"/>
      <c r="E189" s="7" t="s">
        <v>3359</v>
      </c>
      <c r="F189" s="7" t="s">
        <v>54</v>
      </c>
      <c r="G189" s="3" t="s">
        <v>55</v>
      </c>
      <c r="H189" s="3"/>
      <c r="I189" s="3"/>
      <c r="J189" s="3"/>
      <c r="K189" s="3"/>
      <c r="L189" s="3"/>
      <c r="M189" s="3"/>
      <c r="N189" s="3"/>
      <c r="O189" s="3"/>
      <c r="P189" s="3"/>
      <c r="Q189" s="3"/>
    </row>
    <row r="190" spans="1:17" ht="60" customHeight="1" x14ac:dyDescent="0.25">
      <c r="A190" s="9">
        <f>IF(F190="","",ROW()-19-COUNTBLANK($F$20:F190))</f>
        <v>147</v>
      </c>
      <c r="B190" s="4" t="s">
        <v>56</v>
      </c>
      <c r="C190" s="4" t="s">
        <v>57</v>
      </c>
      <c r="D190" s="4"/>
      <c r="E190" s="7" t="s">
        <v>3360</v>
      </c>
      <c r="F190" s="7" t="s">
        <v>2667</v>
      </c>
      <c r="G190" s="3" t="s">
        <v>55</v>
      </c>
      <c r="H190" s="3"/>
      <c r="I190" s="3"/>
      <c r="J190" s="3"/>
      <c r="K190" s="3"/>
      <c r="L190" s="3"/>
      <c r="M190" s="3"/>
      <c r="N190" s="3"/>
      <c r="O190" s="3"/>
      <c r="P190" s="3"/>
      <c r="Q190" s="3"/>
    </row>
    <row r="191" spans="1:17" ht="60" customHeight="1" x14ac:dyDescent="0.25">
      <c r="A191" s="9">
        <f>IF(F191="","",ROW()-19-COUNTBLANK($F$20:F191))</f>
        <v>148</v>
      </c>
      <c r="B191" s="4" t="s">
        <v>60</v>
      </c>
      <c r="C191" s="4" t="s">
        <v>61</v>
      </c>
      <c r="D191" s="4"/>
      <c r="E191" s="7" t="s">
        <v>3361</v>
      </c>
      <c r="F191" s="7" t="s">
        <v>63</v>
      </c>
      <c r="G191" s="3" t="s">
        <v>55</v>
      </c>
      <c r="H191" s="3"/>
      <c r="I191" s="3"/>
      <c r="J191" s="3"/>
      <c r="K191" s="3"/>
      <c r="L191" s="3"/>
      <c r="M191" s="3"/>
      <c r="N191" s="3"/>
      <c r="O191" s="3"/>
      <c r="P191" s="3"/>
      <c r="Q191" s="3"/>
    </row>
    <row r="192" spans="1:17" ht="60" customHeight="1" x14ac:dyDescent="0.25">
      <c r="A192" s="9">
        <f>IF(F192="","",ROW()-19-COUNTBLANK($F$20:F192))</f>
        <v>149</v>
      </c>
      <c r="B192" s="4" t="s">
        <v>64</v>
      </c>
      <c r="C192" s="4" t="s">
        <v>65</v>
      </c>
      <c r="D192" s="4"/>
      <c r="E192" s="7" t="s">
        <v>3362</v>
      </c>
      <c r="F192" s="7" t="s">
        <v>2670</v>
      </c>
      <c r="G192" s="3" t="s">
        <v>55</v>
      </c>
      <c r="H192" s="3"/>
      <c r="I192" s="3"/>
      <c r="J192" s="3"/>
      <c r="K192" s="3"/>
      <c r="L192" s="3"/>
      <c r="M192" s="3"/>
      <c r="N192" s="3"/>
      <c r="O192" s="3"/>
      <c r="P192" s="3"/>
      <c r="Q192" s="3"/>
    </row>
    <row r="193" spans="1:17" ht="60" customHeight="1" x14ac:dyDescent="0.25">
      <c r="A193" s="9">
        <f>IF(F193="","",ROW()-19-COUNTBLANK($F$20:F193))</f>
        <v>150</v>
      </c>
      <c r="B193" s="4" t="s">
        <v>68</v>
      </c>
      <c r="C193" s="4" t="s">
        <v>69</v>
      </c>
      <c r="D193" s="4" t="s">
        <v>70</v>
      </c>
      <c r="E193" s="7" t="s">
        <v>3363</v>
      </c>
      <c r="F193" s="7" t="s">
        <v>72</v>
      </c>
      <c r="G193" s="3" t="s">
        <v>73</v>
      </c>
      <c r="H193" s="3"/>
      <c r="I193" s="3"/>
      <c r="J193" s="3"/>
      <c r="K193" s="3"/>
      <c r="L193" s="3"/>
      <c r="M193" s="3"/>
      <c r="N193" s="3"/>
      <c r="O193" s="3"/>
      <c r="P193" s="3"/>
      <c r="Q193" s="3"/>
    </row>
    <row r="194" spans="1:17" ht="60" customHeight="1" x14ac:dyDescent="0.25">
      <c r="A194" s="9">
        <f>IF(F194="","",ROW()-19-COUNTBLANK($F$20:F194))</f>
        <v>151</v>
      </c>
      <c r="B194" s="4" t="s">
        <v>2515</v>
      </c>
      <c r="C194" s="4" t="s">
        <v>2672</v>
      </c>
      <c r="D194" s="4"/>
      <c r="E194" s="7" t="s">
        <v>3364</v>
      </c>
      <c r="F194" s="7" t="s">
        <v>2674</v>
      </c>
      <c r="G194" s="3" t="s">
        <v>50</v>
      </c>
      <c r="H194" s="3"/>
      <c r="I194" s="3"/>
      <c r="J194" s="3"/>
      <c r="K194" s="3"/>
      <c r="L194" s="3"/>
      <c r="M194" s="3"/>
      <c r="N194" s="3"/>
      <c r="O194" s="3"/>
      <c r="P194" s="3"/>
      <c r="Q194" s="3"/>
    </row>
    <row r="195" spans="1:17" ht="20.100000000000001" customHeight="1" x14ac:dyDescent="0.25">
      <c r="A195" s="9" t="str">
        <f>IF(F195="","",ROW()-19-COUNTBLANK($F$20:F195))</f>
        <v/>
      </c>
      <c r="B195" s="12" t="s">
        <v>2675</v>
      </c>
      <c r="C195" s="12"/>
      <c r="D195" s="12"/>
      <c r="E195" s="12"/>
      <c r="F195" s="12"/>
      <c r="G195" s="12"/>
      <c r="H195" s="12"/>
      <c r="I195" s="12"/>
      <c r="J195" s="12"/>
      <c r="K195" s="12"/>
      <c r="L195" s="12"/>
      <c r="M195" s="12"/>
      <c r="N195" s="12"/>
      <c r="O195" s="12"/>
      <c r="P195" s="12"/>
      <c r="Q195" s="12"/>
    </row>
    <row r="196" spans="1:17" ht="60" customHeight="1" x14ac:dyDescent="0.25">
      <c r="A196" s="9">
        <f>IF(F196="","",ROW()-19-COUNTBLANK($F$20:F196))</f>
        <v>152</v>
      </c>
      <c r="B196" s="4" t="s">
        <v>216</v>
      </c>
      <c r="C196" s="4" t="s">
        <v>2520</v>
      </c>
      <c r="D196" s="4"/>
      <c r="E196" s="7" t="s">
        <v>3365</v>
      </c>
      <c r="F196" s="7" t="s">
        <v>2522</v>
      </c>
      <c r="G196" s="3" t="s">
        <v>55</v>
      </c>
      <c r="H196" s="3"/>
      <c r="I196" s="3"/>
      <c r="J196" s="3"/>
      <c r="K196" s="3"/>
      <c r="L196" s="3"/>
      <c r="M196" s="3"/>
      <c r="N196" s="3"/>
      <c r="O196" s="3"/>
      <c r="P196" s="3"/>
      <c r="Q196" s="3"/>
    </row>
    <row r="197" spans="1:17" ht="60" customHeight="1" x14ac:dyDescent="0.25">
      <c r="A197" s="9">
        <f>IF(F197="","",ROW()-19-COUNTBLANK($F$20:F197))</f>
        <v>153</v>
      </c>
      <c r="B197" s="4" t="s">
        <v>132</v>
      </c>
      <c r="C197" s="4" t="s">
        <v>2523</v>
      </c>
      <c r="D197" s="4"/>
      <c r="E197" s="7" t="s">
        <v>3365</v>
      </c>
      <c r="F197" s="7" t="s">
        <v>2524</v>
      </c>
      <c r="G197" s="3" t="s">
        <v>55</v>
      </c>
      <c r="H197" s="3"/>
      <c r="I197" s="3"/>
      <c r="J197" s="3"/>
      <c r="K197" s="3"/>
      <c r="L197" s="3"/>
      <c r="M197" s="3"/>
      <c r="N197" s="3"/>
      <c r="O197" s="3"/>
      <c r="P197" s="3"/>
      <c r="Q197" s="3"/>
    </row>
    <row r="198" spans="1:17" ht="60" customHeight="1" x14ac:dyDescent="0.25">
      <c r="A198" s="9">
        <f>IF(F198="","",ROW()-19-COUNTBLANK($F$20:F198))</f>
        <v>154</v>
      </c>
      <c r="B198" s="4" t="s">
        <v>465</v>
      </c>
      <c r="C198" s="4" t="s">
        <v>2525</v>
      </c>
      <c r="D198" s="4"/>
      <c r="E198" s="7" t="s">
        <v>3365</v>
      </c>
      <c r="F198" s="7" t="s">
        <v>2526</v>
      </c>
      <c r="G198" s="3" t="s">
        <v>73</v>
      </c>
      <c r="H198" s="3"/>
      <c r="I198" s="3"/>
      <c r="J198" s="3"/>
      <c r="K198" s="3"/>
      <c r="L198" s="3"/>
      <c r="M198" s="3"/>
      <c r="N198" s="3"/>
      <c r="O198" s="3"/>
      <c r="P198" s="3"/>
      <c r="Q198" s="3"/>
    </row>
    <row r="199" spans="1:17" ht="60" customHeight="1" x14ac:dyDescent="0.25">
      <c r="A199" s="9">
        <f>IF(F199="","",ROW()-19-COUNTBLANK($F$20:F199))</f>
        <v>155</v>
      </c>
      <c r="B199" s="4" t="s">
        <v>469</v>
      </c>
      <c r="C199" s="4" t="s">
        <v>2527</v>
      </c>
      <c r="D199" s="4" t="s">
        <v>2528</v>
      </c>
      <c r="E199" s="7" t="s">
        <v>3366</v>
      </c>
      <c r="F199" s="7" t="s">
        <v>2530</v>
      </c>
      <c r="G199" s="3" t="s">
        <v>50</v>
      </c>
      <c r="H199" s="3"/>
      <c r="I199" s="3"/>
      <c r="J199" s="3"/>
      <c r="K199" s="3"/>
      <c r="L199" s="3"/>
      <c r="M199" s="3"/>
      <c r="N199" s="3"/>
      <c r="O199" s="3"/>
      <c r="P199" s="3"/>
      <c r="Q199" s="3"/>
    </row>
    <row r="200" spans="1:17" ht="60" customHeight="1" x14ac:dyDescent="0.25">
      <c r="A200" s="9">
        <f>IF(F200="","",ROW()-19-COUNTBLANK($F$20:F200))</f>
        <v>156</v>
      </c>
      <c r="B200" s="17" t="s">
        <v>150</v>
      </c>
      <c r="C200" s="17" t="s">
        <v>162</v>
      </c>
      <c r="D200" s="4" t="s">
        <v>2531</v>
      </c>
      <c r="E200" s="7" t="s">
        <v>3367</v>
      </c>
      <c r="F200" s="7" t="s">
        <v>2533</v>
      </c>
      <c r="G200" s="3" t="s">
        <v>50</v>
      </c>
      <c r="H200" s="3"/>
      <c r="I200" s="3"/>
      <c r="J200" s="3"/>
      <c r="K200" s="3"/>
      <c r="L200" s="3"/>
      <c r="M200" s="3"/>
      <c r="N200" s="3"/>
      <c r="O200" s="3"/>
      <c r="P200" s="3"/>
      <c r="Q200" s="3"/>
    </row>
    <row r="201" spans="1:17" ht="60" customHeight="1" x14ac:dyDescent="0.25">
      <c r="A201" s="9">
        <f>IF(F201="","",ROW()-19-COUNTBLANK($F$20:F201))</f>
        <v>157</v>
      </c>
      <c r="B201" s="18"/>
      <c r="C201" s="18"/>
      <c r="D201" s="4" t="s">
        <v>2534</v>
      </c>
      <c r="E201" s="7" t="s">
        <v>3368</v>
      </c>
      <c r="F201" s="7" t="s">
        <v>2536</v>
      </c>
      <c r="G201" s="3" t="s">
        <v>50</v>
      </c>
      <c r="H201" s="3"/>
      <c r="I201" s="3"/>
      <c r="J201" s="3"/>
      <c r="K201" s="3"/>
      <c r="L201" s="3"/>
      <c r="M201" s="3"/>
      <c r="N201" s="3"/>
      <c r="O201" s="3"/>
      <c r="P201" s="3"/>
      <c r="Q201" s="3"/>
    </row>
    <row r="202" spans="1:17" ht="60" customHeight="1" x14ac:dyDescent="0.25">
      <c r="A202" s="9">
        <f>IF(F202="","",ROW()-19-COUNTBLANK($F$20:F202))</f>
        <v>158</v>
      </c>
      <c r="B202" s="18"/>
      <c r="C202" s="19"/>
      <c r="D202" s="4" t="s">
        <v>2537</v>
      </c>
      <c r="E202" s="7" t="s">
        <v>3369</v>
      </c>
      <c r="F202" s="7" t="s">
        <v>2539</v>
      </c>
      <c r="G202" s="3" t="s">
        <v>50</v>
      </c>
      <c r="H202" s="3"/>
      <c r="I202" s="3"/>
      <c r="J202" s="3"/>
      <c r="K202" s="3"/>
      <c r="L202" s="3"/>
      <c r="M202" s="3"/>
      <c r="N202" s="3"/>
      <c r="O202" s="3"/>
      <c r="P202" s="3"/>
      <c r="Q202" s="3"/>
    </row>
    <row r="203" spans="1:17" ht="60" customHeight="1" x14ac:dyDescent="0.25">
      <c r="A203" s="9">
        <f>IF(F203="","",ROW()-19-COUNTBLANK($F$20:F203))</f>
        <v>159</v>
      </c>
      <c r="B203" s="18"/>
      <c r="C203" s="17" t="s">
        <v>151</v>
      </c>
      <c r="D203" s="4" t="s">
        <v>2540</v>
      </c>
      <c r="E203" s="7" t="s">
        <v>3370</v>
      </c>
      <c r="F203" s="7" t="s">
        <v>2542</v>
      </c>
      <c r="G203" s="3" t="s">
        <v>50</v>
      </c>
      <c r="H203" s="3"/>
      <c r="I203" s="3"/>
      <c r="J203" s="3"/>
      <c r="K203" s="3"/>
      <c r="L203" s="3"/>
      <c r="M203" s="3"/>
      <c r="N203" s="3"/>
      <c r="O203" s="3"/>
      <c r="P203" s="3"/>
      <c r="Q203" s="3"/>
    </row>
    <row r="204" spans="1:17" ht="60" customHeight="1" x14ac:dyDescent="0.25">
      <c r="A204" s="9">
        <f>IF(F204="","",ROW()-19-COUNTBLANK($F$20:F204))</f>
        <v>160</v>
      </c>
      <c r="B204" s="18"/>
      <c r="C204" s="18"/>
      <c r="D204" s="4" t="s">
        <v>2543</v>
      </c>
      <c r="E204" s="7" t="s">
        <v>3371</v>
      </c>
      <c r="F204" s="7" t="s">
        <v>2545</v>
      </c>
      <c r="G204" s="3" t="s">
        <v>55</v>
      </c>
      <c r="H204" s="3"/>
      <c r="I204" s="3"/>
      <c r="J204" s="3"/>
      <c r="K204" s="3"/>
      <c r="L204" s="3"/>
      <c r="M204" s="3"/>
      <c r="N204" s="3"/>
      <c r="O204" s="3"/>
      <c r="P204" s="3"/>
      <c r="Q204" s="3"/>
    </row>
    <row r="205" spans="1:17" ht="60" customHeight="1" x14ac:dyDescent="0.25">
      <c r="A205" s="9">
        <f>IF(F205="","",ROW()-19-COUNTBLANK($F$20:F205))</f>
        <v>161</v>
      </c>
      <c r="B205" s="18"/>
      <c r="C205" s="18"/>
      <c r="D205" s="4" t="s">
        <v>2546</v>
      </c>
      <c r="E205" s="7" t="s">
        <v>3372</v>
      </c>
      <c r="F205" s="7" t="s">
        <v>2548</v>
      </c>
      <c r="G205" s="3" t="s">
        <v>55</v>
      </c>
      <c r="H205" s="3"/>
      <c r="I205" s="3"/>
      <c r="J205" s="3"/>
      <c r="K205" s="3"/>
      <c r="L205" s="3"/>
      <c r="M205" s="3"/>
      <c r="N205" s="3"/>
      <c r="O205" s="3"/>
      <c r="P205" s="3"/>
      <c r="Q205" s="3"/>
    </row>
    <row r="206" spans="1:17" ht="60" customHeight="1" x14ac:dyDescent="0.25">
      <c r="A206" s="9">
        <f>IF(F206="","",ROW()-19-COUNTBLANK($F$20:F206))</f>
        <v>162</v>
      </c>
      <c r="B206" s="18"/>
      <c r="C206" s="19"/>
      <c r="D206" s="4" t="s">
        <v>2549</v>
      </c>
      <c r="E206" s="7" t="s">
        <v>3373</v>
      </c>
      <c r="F206" s="7" t="s">
        <v>2551</v>
      </c>
      <c r="G206" s="3" t="s">
        <v>55</v>
      </c>
      <c r="H206" s="3"/>
      <c r="I206" s="3"/>
      <c r="J206" s="3"/>
      <c r="K206" s="3"/>
      <c r="L206" s="3"/>
      <c r="M206" s="3"/>
      <c r="N206" s="3"/>
      <c r="O206" s="3"/>
      <c r="P206" s="3"/>
      <c r="Q206" s="3"/>
    </row>
    <row r="207" spans="1:17" ht="60" customHeight="1" x14ac:dyDescent="0.25">
      <c r="A207" s="9">
        <f>IF(F207="","",ROW()-19-COUNTBLANK($F$20:F207))</f>
        <v>163</v>
      </c>
      <c r="B207" s="18"/>
      <c r="C207" s="17" t="s">
        <v>2552</v>
      </c>
      <c r="D207" s="4" t="s">
        <v>2553</v>
      </c>
      <c r="E207" s="7" t="s">
        <v>3374</v>
      </c>
      <c r="F207" s="7" t="s">
        <v>2533</v>
      </c>
      <c r="G207" s="3" t="s">
        <v>55</v>
      </c>
      <c r="H207" s="3"/>
      <c r="I207" s="3"/>
      <c r="J207" s="3"/>
      <c r="K207" s="3"/>
      <c r="L207" s="3"/>
      <c r="M207" s="3"/>
      <c r="N207" s="3"/>
      <c r="O207" s="3"/>
      <c r="P207" s="3"/>
      <c r="Q207" s="3"/>
    </row>
    <row r="208" spans="1:17" ht="60" customHeight="1" x14ac:dyDescent="0.25">
      <c r="A208" s="9">
        <f>IF(F208="","",ROW()-19-COUNTBLANK($F$20:F208))</f>
        <v>164</v>
      </c>
      <c r="B208" s="18"/>
      <c r="C208" s="18"/>
      <c r="D208" s="4" t="s">
        <v>2555</v>
      </c>
      <c r="E208" s="7" t="s">
        <v>3375</v>
      </c>
      <c r="F208" s="7" t="s">
        <v>2533</v>
      </c>
      <c r="G208" s="3" t="s">
        <v>55</v>
      </c>
      <c r="H208" s="3"/>
      <c r="I208" s="3"/>
      <c r="J208" s="3"/>
      <c r="K208" s="3"/>
      <c r="L208" s="3"/>
      <c r="M208" s="3"/>
      <c r="N208" s="3"/>
      <c r="O208" s="3"/>
      <c r="P208" s="3"/>
      <c r="Q208" s="3"/>
    </row>
    <row r="209" spans="1:17" ht="60" customHeight="1" x14ac:dyDescent="0.25">
      <c r="A209" s="9">
        <f>IF(F209="","",ROW()-19-COUNTBLANK($F$20:F209))</f>
        <v>165</v>
      </c>
      <c r="B209" s="18"/>
      <c r="C209" s="18"/>
      <c r="D209" s="4" t="s">
        <v>2557</v>
      </c>
      <c r="E209" s="7" t="s">
        <v>3376</v>
      </c>
      <c r="F209" s="7" t="s">
        <v>2533</v>
      </c>
      <c r="G209" s="3" t="s">
        <v>55</v>
      </c>
      <c r="H209" s="3"/>
      <c r="I209" s="3"/>
      <c r="J209" s="3"/>
      <c r="K209" s="3"/>
      <c r="L209" s="3"/>
      <c r="M209" s="3"/>
      <c r="N209" s="3"/>
      <c r="O209" s="3"/>
      <c r="P209" s="3"/>
      <c r="Q209" s="3"/>
    </row>
    <row r="210" spans="1:17" ht="60" customHeight="1" x14ac:dyDescent="0.25">
      <c r="A210" s="9">
        <f>IF(F210="","",ROW()-19-COUNTBLANK($F$20:F210))</f>
        <v>166</v>
      </c>
      <c r="B210" s="18"/>
      <c r="C210" s="18"/>
      <c r="D210" s="4" t="s">
        <v>2559</v>
      </c>
      <c r="E210" s="7" t="s">
        <v>3377</v>
      </c>
      <c r="F210" s="7" t="s">
        <v>2533</v>
      </c>
      <c r="G210" s="3" t="s">
        <v>55</v>
      </c>
      <c r="H210" s="3"/>
      <c r="I210" s="3"/>
      <c r="J210" s="3"/>
      <c r="K210" s="3"/>
      <c r="L210" s="3"/>
      <c r="M210" s="3"/>
      <c r="N210" s="3"/>
      <c r="O210" s="3"/>
      <c r="P210" s="3"/>
      <c r="Q210" s="3"/>
    </row>
    <row r="211" spans="1:17" ht="60" customHeight="1" x14ac:dyDescent="0.25">
      <c r="A211" s="9">
        <f>IF(F211="","",ROW()-19-COUNTBLANK($F$20:F211))</f>
        <v>167</v>
      </c>
      <c r="B211" s="18"/>
      <c r="C211" s="18"/>
      <c r="D211" s="4" t="s">
        <v>2561</v>
      </c>
      <c r="E211" s="7" t="s">
        <v>3378</v>
      </c>
      <c r="F211" s="7" t="s">
        <v>2533</v>
      </c>
      <c r="G211" s="3" t="s">
        <v>55</v>
      </c>
      <c r="H211" s="3"/>
      <c r="I211" s="3"/>
      <c r="J211" s="3"/>
      <c r="K211" s="3"/>
      <c r="L211" s="3"/>
      <c r="M211" s="3"/>
      <c r="N211" s="3"/>
      <c r="O211" s="3"/>
      <c r="P211" s="3"/>
      <c r="Q211" s="3"/>
    </row>
    <row r="212" spans="1:17" ht="60" customHeight="1" x14ac:dyDescent="0.25">
      <c r="A212" s="9">
        <f>IF(F212="","",ROW()-19-COUNTBLANK($F$20:F212))</f>
        <v>168</v>
      </c>
      <c r="B212" s="18"/>
      <c r="C212" s="19"/>
      <c r="D212" s="4" t="s">
        <v>2563</v>
      </c>
      <c r="E212" s="7" t="s">
        <v>3379</v>
      </c>
      <c r="F212" s="7" t="s">
        <v>2533</v>
      </c>
      <c r="G212" s="3" t="s">
        <v>55</v>
      </c>
      <c r="H212" s="3"/>
      <c r="I212" s="3"/>
      <c r="J212" s="3"/>
      <c r="K212" s="3"/>
      <c r="L212" s="3"/>
      <c r="M212" s="3"/>
      <c r="N212" s="3"/>
      <c r="O212" s="3"/>
      <c r="P212" s="3"/>
      <c r="Q212" s="3"/>
    </row>
    <row r="213" spans="1:17" ht="60" customHeight="1" x14ac:dyDescent="0.25">
      <c r="A213" s="9">
        <f>IF(F213="","",ROW()-19-COUNTBLANK($F$20:F213))</f>
        <v>169</v>
      </c>
      <c r="B213" s="18"/>
      <c r="C213" s="17" t="s">
        <v>2565</v>
      </c>
      <c r="D213" s="4" t="s">
        <v>2566</v>
      </c>
      <c r="E213" s="7" t="s">
        <v>3380</v>
      </c>
      <c r="F213" s="7" t="s">
        <v>2568</v>
      </c>
      <c r="G213" s="3" t="s">
        <v>50</v>
      </c>
      <c r="H213" s="3"/>
      <c r="I213" s="3"/>
      <c r="J213" s="3"/>
      <c r="K213" s="3"/>
      <c r="L213" s="3"/>
      <c r="M213" s="3"/>
      <c r="N213" s="3"/>
      <c r="O213" s="3"/>
      <c r="P213" s="3"/>
      <c r="Q213" s="3"/>
    </row>
    <row r="214" spans="1:17" ht="60" customHeight="1" x14ac:dyDescent="0.25">
      <c r="A214" s="9">
        <f>IF(F214="","",ROW()-19-COUNTBLANK($F$20:F214))</f>
        <v>170</v>
      </c>
      <c r="B214" s="18"/>
      <c r="C214" s="18"/>
      <c r="D214" s="4" t="s">
        <v>2569</v>
      </c>
      <c r="E214" s="7" t="s">
        <v>3381</v>
      </c>
      <c r="F214" s="7" t="s">
        <v>2571</v>
      </c>
      <c r="G214" s="3" t="s">
        <v>50</v>
      </c>
      <c r="H214" s="3"/>
      <c r="I214" s="3"/>
      <c r="J214" s="3"/>
      <c r="K214" s="3"/>
      <c r="L214" s="3"/>
      <c r="M214" s="3"/>
      <c r="N214" s="3"/>
      <c r="O214" s="3"/>
      <c r="P214" s="3"/>
      <c r="Q214" s="3"/>
    </row>
    <row r="215" spans="1:17" ht="60" customHeight="1" x14ac:dyDescent="0.25">
      <c r="A215" s="9">
        <f>IF(F215="","",ROW()-19-COUNTBLANK($F$20:F215))</f>
        <v>171</v>
      </c>
      <c r="B215" s="18"/>
      <c r="C215" s="18"/>
      <c r="D215" s="4" t="s">
        <v>2572</v>
      </c>
      <c r="E215" s="7" t="s">
        <v>3382</v>
      </c>
      <c r="F215" s="7" t="s">
        <v>2574</v>
      </c>
      <c r="G215" s="3" t="s">
        <v>55</v>
      </c>
      <c r="H215" s="3"/>
      <c r="I215" s="3"/>
      <c r="J215" s="3"/>
      <c r="K215" s="3"/>
      <c r="L215" s="3"/>
      <c r="M215" s="3"/>
      <c r="N215" s="3"/>
      <c r="O215" s="3"/>
      <c r="P215" s="3"/>
      <c r="Q215" s="3"/>
    </row>
    <row r="216" spans="1:17" ht="60" customHeight="1" x14ac:dyDescent="0.25">
      <c r="A216" s="9">
        <f>IF(F216="","",ROW()-19-COUNTBLANK($F$20:F216))</f>
        <v>172</v>
      </c>
      <c r="B216" s="19"/>
      <c r="C216" s="19"/>
      <c r="D216" s="4" t="s">
        <v>2575</v>
      </c>
      <c r="E216" s="7" t="s">
        <v>3383</v>
      </c>
      <c r="F216" s="7" t="s">
        <v>2577</v>
      </c>
      <c r="G216" s="3" t="s">
        <v>50</v>
      </c>
      <c r="H216" s="3"/>
      <c r="I216" s="3"/>
      <c r="J216" s="3"/>
      <c r="K216" s="3"/>
      <c r="L216" s="3"/>
      <c r="M216" s="3"/>
      <c r="N216" s="3"/>
      <c r="O216" s="3"/>
      <c r="P216" s="3"/>
      <c r="Q216" s="3"/>
    </row>
    <row r="217" spans="1:17" ht="60" customHeight="1" x14ac:dyDescent="0.25">
      <c r="A217" s="9">
        <f>IF(F217="","",ROW()-19-COUNTBLANK($F$20:F217))</f>
        <v>173</v>
      </c>
      <c r="B217" s="17" t="s">
        <v>186</v>
      </c>
      <c r="C217" s="17" t="s">
        <v>198</v>
      </c>
      <c r="D217" s="4" t="s">
        <v>2531</v>
      </c>
      <c r="E217" s="7" t="s">
        <v>3384</v>
      </c>
      <c r="F217" s="7" t="s">
        <v>2533</v>
      </c>
      <c r="G217" s="3" t="s">
        <v>50</v>
      </c>
      <c r="H217" s="3"/>
      <c r="I217" s="3"/>
      <c r="J217" s="3"/>
      <c r="K217" s="3"/>
      <c r="L217" s="3"/>
      <c r="M217" s="3"/>
      <c r="N217" s="3"/>
      <c r="O217" s="3"/>
      <c r="P217" s="3"/>
      <c r="Q217" s="3"/>
    </row>
    <row r="218" spans="1:17" ht="60" customHeight="1" x14ac:dyDescent="0.25">
      <c r="A218" s="9">
        <f>IF(F218="","",ROW()-19-COUNTBLANK($F$20:F218))</f>
        <v>174</v>
      </c>
      <c r="B218" s="18"/>
      <c r="C218" s="18"/>
      <c r="D218" s="4" t="s">
        <v>2534</v>
      </c>
      <c r="E218" s="7" t="s">
        <v>3385</v>
      </c>
      <c r="F218" s="7" t="s">
        <v>2580</v>
      </c>
      <c r="G218" s="3" t="s">
        <v>50</v>
      </c>
      <c r="H218" s="3"/>
      <c r="I218" s="3"/>
      <c r="J218" s="3"/>
      <c r="K218" s="3"/>
      <c r="L218" s="3"/>
      <c r="M218" s="3"/>
      <c r="N218" s="3"/>
      <c r="O218" s="3"/>
      <c r="P218" s="3"/>
      <c r="Q218" s="3"/>
    </row>
    <row r="219" spans="1:17" ht="60" customHeight="1" x14ac:dyDescent="0.25">
      <c r="A219" s="9">
        <f>IF(F219="","",ROW()-19-COUNTBLANK($F$20:F219))</f>
        <v>175</v>
      </c>
      <c r="B219" s="18"/>
      <c r="C219" s="19"/>
      <c r="D219" s="4" t="s">
        <v>2537</v>
      </c>
      <c r="E219" s="7" t="s">
        <v>3386</v>
      </c>
      <c r="F219" s="7" t="s">
        <v>2582</v>
      </c>
      <c r="G219" s="3" t="s">
        <v>50</v>
      </c>
      <c r="H219" s="3"/>
      <c r="I219" s="3"/>
      <c r="J219" s="3"/>
      <c r="K219" s="3"/>
      <c r="L219" s="3"/>
      <c r="M219" s="3"/>
      <c r="N219" s="3"/>
      <c r="O219" s="3"/>
      <c r="P219" s="3"/>
      <c r="Q219" s="3"/>
    </row>
    <row r="220" spans="1:17" ht="60" customHeight="1" x14ac:dyDescent="0.25">
      <c r="A220" s="9">
        <f>IF(F220="","",ROW()-19-COUNTBLANK($F$20:F220))</f>
        <v>176</v>
      </c>
      <c r="B220" s="18"/>
      <c r="C220" s="17" t="s">
        <v>187</v>
      </c>
      <c r="D220" s="4" t="s">
        <v>2583</v>
      </c>
      <c r="E220" s="7" t="s">
        <v>3387</v>
      </c>
      <c r="F220" s="7" t="s">
        <v>2585</v>
      </c>
      <c r="G220" s="3" t="s">
        <v>50</v>
      </c>
      <c r="H220" s="3"/>
      <c r="I220" s="3"/>
      <c r="J220" s="3"/>
      <c r="K220" s="3"/>
      <c r="L220" s="3"/>
      <c r="M220" s="3"/>
      <c r="N220" s="3"/>
      <c r="O220" s="3"/>
      <c r="P220" s="3"/>
      <c r="Q220" s="3"/>
    </row>
    <row r="221" spans="1:17" ht="60" customHeight="1" x14ac:dyDescent="0.25">
      <c r="A221" s="9">
        <f>IF(F221="","",ROW()-19-COUNTBLANK($F$20:F221))</f>
        <v>177</v>
      </c>
      <c r="B221" s="18"/>
      <c r="C221" s="18"/>
      <c r="D221" s="4" t="s">
        <v>2586</v>
      </c>
      <c r="E221" s="7" t="s">
        <v>3388</v>
      </c>
      <c r="F221" s="7" t="s">
        <v>2588</v>
      </c>
      <c r="G221" s="3" t="s">
        <v>55</v>
      </c>
      <c r="H221" s="3"/>
      <c r="I221" s="3"/>
      <c r="J221" s="3"/>
      <c r="K221" s="3"/>
      <c r="L221" s="3"/>
      <c r="M221" s="3"/>
      <c r="N221" s="3"/>
      <c r="O221" s="3"/>
      <c r="P221" s="3"/>
      <c r="Q221" s="3"/>
    </row>
    <row r="222" spans="1:17" ht="60" customHeight="1" x14ac:dyDescent="0.25">
      <c r="A222" s="9">
        <f>IF(F222="","",ROW()-19-COUNTBLANK($F$20:F222))</f>
        <v>178</v>
      </c>
      <c r="B222" s="18"/>
      <c r="C222" s="18"/>
      <c r="D222" s="4" t="s">
        <v>2589</v>
      </c>
      <c r="E222" s="7" t="s">
        <v>3389</v>
      </c>
      <c r="F222" s="7" t="s">
        <v>2591</v>
      </c>
      <c r="G222" s="3" t="s">
        <v>55</v>
      </c>
      <c r="H222" s="3"/>
      <c r="I222" s="3"/>
      <c r="J222" s="3"/>
      <c r="K222" s="3"/>
      <c r="L222" s="3"/>
      <c r="M222" s="3"/>
      <c r="N222" s="3"/>
      <c r="O222" s="3"/>
      <c r="P222" s="3"/>
      <c r="Q222" s="3"/>
    </row>
    <row r="223" spans="1:17" ht="60" customHeight="1" x14ac:dyDescent="0.25">
      <c r="A223" s="9">
        <f>IF(F223="","",ROW()-19-COUNTBLANK($F$20:F223))</f>
        <v>179</v>
      </c>
      <c r="B223" s="18"/>
      <c r="C223" s="19"/>
      <c r="D223" s="4" t="s">
        <v>2592</v>
      </c>
      <c r="E223" s="7" t="s">
        <v>3390</v>
      </c>
      <c r="F223" s="7" t="s">
        <v>2591</v>
      </c>
      <c r="G223" s="3" t="s">
        <v>55</v>
      </c>
      <c r="H223" s="3"/>
      <c r="I223" s="3"/>
      <c r="J223" s="3"/>
      <c r="K223" s="3"/>
      <c r="L223" s="3"/>
      <c r="M223" s="3"/>
      <c r="N223" s="3"/>
      <c r="O223" s="3"/>
      <c r="P223" s="3"/>
      <c r="Q223" s="3"/>
    </row>
    <row r="224" spans="1:17" ht="60" customHeight="1" x14ac:dyDescent="0.25">
      <c r="A224" s="9">
        <f>IF(F224="","",ROW()-19-COUNTBLANK($F$20:F224))</f>
        <v>180</v>
      </c>
      <c r="B224" s="18"/>
      <c r="C224" s="17" t="s">
        <v>2594</v>
      </c>
      <c r="D224" s="4" t="s">
        <v>2595</v>
      </c>
      <c r="E224" s="7" t="s">
        <v>3391</v>
      </c>
      <c r="F224" s="7" t="s">
        <v>2533</v>
      </c>
      <c r="G224" s="3" t="s">
        <v>55</v>
      </c>
      <c r="H224" s="3"/>
      <c r="I224" s="3"/>
      <c r="J224" s="3"/>
      <c r="K224" s="3"/>
      <c r="L224" s="3"/>
      <c r="M224" s="3"/>
      <c r="N224" s="3"/>
      <c r="O224" s="3"/>
      <c r="P224" s="3"/>
      <c r="Q224" s="3"/>
    </row>
    <row r="225" spans="1:17" ht="60" customHeight="1" x14ac:dyDescent="0.25">
      <c r="A225" s="9">
        <f>IF(F225="","",ROW()-19-COUNTBLANK($F$20:F225))</f>
        <v>181</v>
      </c>
      <c r="B225" s="18"/>
      <c r="C225" s="18"/>
      <c r="D225" s="4" t="s">
        <v>2597</v>
      </c>
      <c r="E225" s="7" t="s">
        <v>3392</v>
      </c>
      <c r="F225" s="7" t="s">
        <v>2533</v>
      </c>
      <c r="G225" s="3" t="s">
        <v>55</v>
      </c>
      <c r="H225" s="3"/>
      <c r="I225" s="3"/>
      <c r="J225" s="3"/>
      <c r="K225" s="3"/>
      <c r="L225" s="3"/>
      <c r="M225" s="3"/>
      <c r="N225" s="3"/>
      <c r="O225" s="3"/>
      <c r="P225" s="3"/>
      <c r="Q225" s="3"/>
    </row>
    <row r="226" spans="1:17" ht="60" customHeight="1" x14ac:dyDescent="0.25">
      <c r="A226" s="9">
        <f>IF(F226="","",ROW()-19-COUNTBLANK($F$20:F226))</f>
        <v>182</v>
      </c>
      <c r="B226" s="18"/>
      <c r="C226" s="18"/>
      <c r="D226" s="4" t="s">
        <v>2599</v>
      </c>
      <c r="E226" s="7" t="s">
        <v>3393</v>
      </c>
      <c r="F226" s="7" t="s">
        <v>2533</v>
      </c>
      <c r="G226" s="3" t="s">
        <v>55</v>
      </c>
      <c r="H226" s="3"/>
      <c r="I226" s="3"/>
      <c r="J226" s="3"/>
      <c r="K226" s="3"/>
      <c r="L226" s="3"/>
      <c r="M226" s="3"/>
      <c r="N226" s="3"/>
      <c r="O226" s="3"/>
      <c r="P226" s="3"/>
      <c r="Q226" s="3"/>
    </row>
    <row r="227" spans="1:17" ht="60" customHeight="1" x14ac:dyDescent="0.25">
      <c r="A227" s="9">
        <f>IF(F227="","",ROW()-19-COUNTBLANK($F$20:F227))</f>
        <v>183</v>
      </c>
      <c r="B227" s="18"/>
      <c r="C227" s="18"/>
      <c r="D227" s="4" t="s">
        <v>2601</v>
      </c>
      <c r="E227" s="7" t="s">
        <v>3394</v>
      </c>
      <c r="F227" s="7" t="s">
        <v>2533</v>
      </c>
      <c r="G227" s="3" t="s">
        <v>55</v>
      </c>
      <c r="H227" s="3"/>
      <c r="I227" s="3"/>
      <c r="J227" s="3"/>
      <c r="K227" s="3"/>
      <c r="L227" s="3"/>
      <c r="M227" s="3"/>
      <c r="N227" s="3"/>
      <c r="O227" s="3"/>
      <c r="P227" s="3"/>
      <c r="Q227" s="3"/>
    </row>
    <row r="228" spans="1:17" ht="60" customHeight="1" x14ac:dyDescent="0.25">
      <c r="A228" s="9">
        <f>IF(F228="","",ROW()-19-COUNTBLANK($F$20:F228))</f>
        <v>184</v>
      </c>
      <c r="B228" s="18"/>
      <c r="C228" s="18"/>
      <c r="D228" s="4" t="s">
        <v>2603</v>
      </c>
      <c r="E228" s="7" t="s">
        <v>3395</v>
      </c>
      <c r="F228" s="7" t="s">
        <v>2533</v>
      </c>
      <c r="G228" s="3" t="s">
        <v>55</v>
      </c>
      <c r="H228" s="3"/>
      <c r="I228" s="3"/>
      <c r="J228" s="3"/>
      <c r="K228" s="3"/>
      <c r="L228" s="3"/>
      <c r="M228" s="3"/>
      <c r="N228" s="3"/>
      <c r="O228" s="3"/>
      <c r="P228" s="3"/>
      <c r="Q228" s="3"/>
    </row>
    <row r="229" spans="1:17" ht="60" customHeight="1" x14ac:dyDescent="0.25">
      <c r="A229" s="9">
        <f>IF(F229="","",ROW()-19-COUNTBLANK($F$20:F229))</f>
        <v>185</v>
      </c>
      <c r="B229" s="18"/>
      <c r="C229" s="19"/>
      <c r="D229" s="4" t="s">
        <v>2605</v>
      </c>
      <c r="E229" s="7" t="s">
        <v>3396</v>
      </c>
      <c r="F229" s="7" t="s">
        <v>2533</v>
      </c>
      <c r="G229" s="3" t="s">
        <v>55</v>
      </c>
      <c r="H229" s="3"/>
      <c r="I229" s="3"/>
      <c r="J229" s="3"/>
      <c r="K229" s="3"/>
      <c r="L229" s="3"/>
      <c r="M229" s="3"/>
      <c r="N229" s="3"/>
      <c r="O229" s="3"/>
      <c r="P229" s="3"/>
      <c r="Q229" s="3"/>
    </row>
    <row r="230" spans="1:17" ht="60" customHeight="1" x14ac:dyDescent="0.25">
      <c r="A230" s="9">
        <f>IF(F230="","",ROW()-19-COUNTBLANK($F$20:F230))</f>
        <v>186</v>
      </c>
      <c r="B230" s="18"/>
      <c r="C230" s="17" t="s">
        <v>2607</v>
      </c>
      <c r="D230" s="4" t="s">
        <v>2566</v>
      </c>
      <c r="E230" s="7" t="s">
        <v>3397</v>
      </c>
      <c r="F230" s="7" t="s">
        <v>2609</v>
      </c>
      <c r="G230" s="3" t="s">
        <v>50</v>
      </c>
      <c r="H230" s="3"/>
      <c r="I230" s="3"/>
      <c r="J230" s="3"/>
      <c r="K230" s="3"/>
      <c r="L230" s="3"/>
      <c r="M230" s="3"/>
      <c r="N230" s="3"/>
      <c r="O230" s="3"/>
      <c r="P230" s="3"/>
      <c r="Q230" s="3"/>
    </row>
    <row r="231" spans="1:17" ht="60" customHeight="1" x14ac:dyDescent="0.25">
      <c r="A231" s="9">
        <f>IF(F231="","",ROW()-19-COUNTBLANK($F$20:F231))</f>
        <v>187</v>
      </c>
      <c r="B231" s="18"/>
      <c r="C231" s="18"/>
      <c r="D231" s="4" t="s">
        <v>2610</v>
      </c>
      <c r="E231" s="7" t="s">
        <v>3398</v>
      </c>
      <c r="F231" s="7" t="s">
        <v>2612</v>
      </c>
      <c r="G231" s="3" t="s">
        <v>50</v>
      </c>
      <c r="H231" s="3"/>
      <c r="I231" s="3"/>
      <c r="J231" s="3"/>
      <c r="K231" s="3"/>
      <c r="L231" s="3"/>
      <c r="M231" s="3"/>
      <c r="N231" s="3"/>
      <c r="O231" s="3"/>
      <c r="P231" s="3"/>
      <c r="Q231" s="3"/>
    </row>
    <row r="232" spans="1:17" ht="60" customHeight="1" x14ac:dyDescent="0.25">
      <c r="A232" s="9">
        <f>IF(F232="","",ROW()-19-COUNTBLANK($F$20:F232))</f>
        <v>188</v>
      </c>
      <c r="B232" s="18"/>
      <c r="C232" s="18"/>
      <c r="D232" s="4" t="s">
        <v>2613</v>
      </c>
      <c r="E232" s="7" t="s">
        <v>3399</v>
      </c>
      <c r="F232" s="7" t="s">
        <v>2615</v>
      </c>
      <c r="G232" s="3" t="s">
        <v>55</v>
      </c>
      <c r="H232" s="3"/>
      <c r="I232" s="3"/>
      <c r="J232" s="3"/>
      <c r="K232" s="3"/>
      <c r="L232" s="3"/>
      <c r="M232" s="3"/>
      <c r="N232" s="3"/>
      <c r="O232" s="3"/>
      <c r="P232" s="3"/>
      <c r="Q232" s="3"/>
    </row>
    <row r="233" spans="1:17" ht="60" customHeight="1" x14ac:dyDescent="0.25">
      <c r="A233" s="9">
        <f>IF(F233="","",ROW()-19-COUNTBLANK($F$20:F233))</f>
        <v>189</v>
      </c>
      <c r="B233" s="19"/>
      <c r="C233" s="19"/>
      <c r="D233" s="4" t="s">
        <v>2616</v>
      </c>
      <c r="E233" s="7" t="s">
        <v>3400</v>
      </c>
      <c r="F233" s="7" t="s">
        <v>2618</v>
      </c>
      <c r="G233" s="3" t="s">
        <v>50</v>
      </c>
      <c r="H233" s="3"/>
      <c r="I233" s="3"/>
      <c r="J233" s="3"/>
      <c r="K233" s="3"/>
      <c r="L233" s="3"/>
      <c r="M233" s="3"/>
      <c r="N233" s="3"/>
      <c r="O233" s="3"/>
      <c r="P233" s="3"/>
      <c r="Q233" s="3"/>
    </row>
    <row r="234" spans="1:17" ht="60" customHeight="1" x14ac:dyDescent="0.25">
      <c r="A234" s="9">
        <f>IF(F234="","",ROW()-19-COUNTBLANK($F$20:F234))</f>
        <v>190</v>
      </c>
      <c r="B234" s="4" t="s">
        <v>2619</v>
      </c>
      <c r="C234" s="4" t="s">
        <v>2620</v>
      </c>
      <c r="D234" s="4" t="s">
        <v>2621</v>
      </c>
      <c r="E234" s="7" t="s">
        <v>3401</v>
      </c>
      <c r="F234" s="7" t="s">
        <v>2623</v>
      </c>
      <c r="G234" s="3" t="s">
        <v>55</v>
      </c>
      <c r="H234" s="3"/>
      <c r="I234" s="3"/>
      <c r="J234" s="3"/>
      <c r="K234" s="3"/>
      <c r="L234" s="3"/>
      <c r="M234" s="3"/>
      <c r="N234" s="3"/>
      <c r="O234" s="3"/>
      <c r="P234" s="3"/>
      <c r="Q234" s="3"/>
    </row>
    <row r="235" spans="1:17" ht="60" customHeight="1" x14ac:dyDescent="0.25">
      <c r="A235" s="9">
        <f>IF(F235="","",ROW()-19-COUNTBLANK($F$20:F235))</f>
        <v>191</v>
      </c>
      <c r="B235" s="4" t="s">
        <v>2624</v>
      </c>
      <c r="C235" s="4" t="s">
        <v>2625</v>
      </c>
      <c r="D235" s="4" t="s">
        <v>2626</v>
      </c>
      <c r="E235" s="7" t="s">
        <v>3402</v>
      </c>
      <c r="F235" s="7" t="s">
        <v>2628</v>
      </c>
      <c r="G235" s="3" t="s">
        <v>55</v>
      </c>
      <c r="H235" s="3"/>
      <c r="I235" s="3"/>
      <c r="J235" s="3"/>
      <c r="K235" s="3"/>
      <c r="L235" s="3"/>
      <c r="M235" s="3"/>
      <c r="N235" s="3"/>
      <c r="O235" s="3"/>
      <c r="P235" s="3"/>
      <c r="Q235" s="3"/>
    </row>
    <row r="236" spans="1:17" ht="60" customHeight="1" x14ac:dyDescent="0.25">
      <c r="A236" s="9">
        <f>IF(F236="","",ROW()-19-COUNTBLANK($F$20:F236))</f>
        <v>192</v>
      </c>
      <c r="B236" s="4" t="s">
        <v>2629</v>
      </c>
      <c r="C236" s="4" t="s">
        <v>2630</v>
      </c>
      <c r="D236" s="4" t="s">
        <v>2631</v>
      </c>
      <c r="E236" s="7" t="s">
        <v>3403</v>
      </c>
      <c r="F236" s="7" t="s">
        <v>2633</v>
      </c>
      <c r="G236" s="3" t="s">
        <v>73</v>
      </c>
      <c r="H236" s="3"/>
      <c r="I236" s="3"/>
      <c r="J236" s="3"/>
      <c r="K236" s="3"/>
      <c r="L236" s="3"/>
      <c r="M236" s="3"/>
      <c r="N236" s="3"/>
      <c r="O236" s="3"/>
      <c r="P236" s="3"/>
      <c r="Q236" s="3"/>
    </row>
    <row r="237" spans="1:17" ht="20.100000000000001" customHeight="1" x14ac:dyDescent="0.25">
      <c r="A237" s="9" t="str">
        <f>IF(F237="","",ROW()-19-COUNTBLANK($F$20:F237))</f>
        <v/>
      </c>
      <c r="B237" s="12" t="s">
        <v>2715</v>
      </c>
      <c r="C237" s="12"/>
      <c r="D237" s="12"/>
      <c r="E237" s="12"/>
      <c r="F237" s="12"/>
      <c r="G237" s="12"/>
      <c r="H237" s="12"/>
      <c r="I237" s="12"/>
      <c r="J237" s="12"/>
      <c r="K237" s="12"/>
      <c r="L237" s="12"/>
      <c r="M237" s="12"/>
      <c r="N237" s="12"/>
      <c r="O237" s="12"/>
      <c r="P237" s="12"/>
      <c r="Q237" s="12"/>
    </row>
    <row r="238" spans="1:17" ht="60" customHeight="1" x14ac:dyDescent="0.25">
      <c r="A238" s="9">
        <f>IF(F238="","",ROW()-19-COUNTBLANK($F$20:F238))</f>
        <v>193</v>
      </c>
      <c r="B238" s="4" t="s">
        <v>2635</v>
      </c>
      <c r="C238" s="4" t="s">
        <v>2487</v>
      </c>
      <c r="D238" s="4"/>
      <c r="E238" s="7" t="s">
        <v>3404</v>
      </c>
      <c r="F238" s="7" t="s">
        <v>2717</v>
      </c>
      <c r="G238" s="3" t="s">
        <v>55</v>
      </c>
      <c r="H238" s="3"/>
      <c r="I238" s="3"/>
      <c r="J238" s="3"/>
      <c r="K238" s="3"/>
      <c r="L238" s="3"/>
      <c r="M238" s="3"/>
      <c r="N238" s="3"/>
      <c r="O238" s="3"/>
      <c r="P238" s="3"/>
      <c r="Q238" s="3"/>
    </row>
    <row r="239" spans="1:17" ht="60" customHeight="1" x14ac:dyDescent="0.25">
      <c r="A239" s="9">
        <f>IF(F239="","",ROW()-19-COUNTBLANK($F$20:F239))</f>
        <v>194</v>
      </c>
      <c r="B239" s="4" t="s">
        <v>2638</v>
      </c>
      <c r="C239" s="4" t="s">
        <v>2490</v>
      </c>
      <c r="D239" s="4"/>
      <c r="E239" s="7" t="s">
        <v>3405</v>
      </c>
      <c r="F239" s="7" t="s">
        <v>2640</v>
      </c>
      <c r="G239" s="3" t="s">
        <v>55</v>
      </c>
      <c r="H239" s="3"/>
      <c r="I239" s="3"/>
      <c r="J239" s="3"/>
      <c r="K239" s="3"/>
      <c r="L239" s="3"/>
      <c r="M239" s="3"/>
      <c r="N239" s="3"/>
      <c r="O239" s="3"/>
      <c r="P239" s="3"/>
      <c r="Q239" s="3"/>
    </row>
    <row r="240" spans="1:17" ht="60" customHeight="1" x14ac:dyDescent="0.25">
      <c r="A240" s="9">
        <f>IF(F240="","",ROW()-19-COUNTBLANK($F$20:F240))</f>
        <v>195</v>
      </c>
      <c r="B240" s="4" t="s">
        <v>2641</v>
      </c>
      <c r="C240" s="4" t="s">
        <v>2492</v>
      </c>
      <c r="D240" s="4" t="s">
        <v>2642</v>
      </c>
      <c r="E240" s="7" t="s">
        <v>3406</v>
      </c>
      <c r="F240" s="7" t="s">
        <v>3407</v>
      </c>
      <c r="G240" s="3" t="s">
        <v>50</v>
      </c>
      <c r="H240" s="3"/>
      <c r="I240" s="3"/>
      <c r="J240" s="3"/>
      <c r="K240" s="3"/>
      <c r="L240" s="3"/>
      <c r="M240" s="3"/>
      <c r="N240" s="3"/>
      <c r="O240" s="3"/>
      <c r="P240" s="3"/>
      <c r="Q240" s="3"/>
    </row>
    <row r="241" spans="1:17" ht="20.100000000000001" customHeight="1" x14ac:dyDescent="0.25">
      <c r="A241" s="9" t="str">
        <f>IF(F241="","",ROW()-19-COUNTBLANK($F$20:F241))</f>
        <v/>
      </c>
      <c r="B241" s="12" t="s">
        <v>2721</v>
      </c>
      <c r="C241" s="12"/>
      <c r="D241" s="12"/>
      <c r="E241" s="12"/>
      <c r="F241" s="12"/>
      <c r="G241" s="12"/>
      <c r="H241" s="12"/>
      <c r="I241" s="12"/>
      <c r="J241" s="12"/>
      <c r="K241" s="12"/>
      <c r="L241" s="12"/>
      <c r="M241" s="12"/>
      <c r="N241" s="12"/>
      <c r="O241" s="12"/>
      <c r="P241" s="12"/>
      <c r="Q241" s="12"/>
    </row>
    <row r="242" spans="1:17" ht="60" customHeight="1" x14ac:dyDescent="0.25">
      <c r="A242" s="9">
        <f>IF(F242="","",ROW()-19-COUNTBLANK($F$20:F242))</f>
        <v>196</v>
      </c>
      <c r="B242" s="4" t="s">
        <v>2646</v>
      </c>
      <c r="C242" s="4" t="s">
        <v>2478</v>
      </c>
      <c r="D242" s="4"/>
      <c r="E242" s="7" t="s">
        <v>3408</v>
      </c>
      <c r="F242" s="7" t="s">
        <v>2648</v>
      </c>
      <c r="G242" s="3" t="s">
        <v>55</v>
      </c>
      <c r="H242" s="3"/>
      <c r="I242" s="3"/>
      <c r="J242" s="3"/>
      <c r="K242" s="3"/>
      <c r="L242" s="3"/>
      <c r="M242" s="3"/>
      <c r="N242" s="3"/>
      <c r="O242" s="3"/>
      <c r="P242" s="3"/>
      <c r="Q242" s="3"/>
    </row>
    <row r="243" spans="1:17" ht="60" customHeight="1" x14ac:dyDescent="0.25">
      <c r="A243" s="9">
        <f>IF(F243="","",ROW()-19-COUNTBLANK($F$20:F243))</f>
        <v>197</v>
      </c>
      <c r="B243" s="4" t="s">
        <v>2649</v>
      </c>
      <c r="C243" s="4" t="s">
        <v>2481</v>
      </c>
      <c r="D243" s="4"/>
      <c r="E243" s="7" t="s">
        <v>3408</v>
      </c>
      <c r="F243" s="7" t="s">
        <v>2650</v>
      </c>
      <c r="G243" s="3" t="s">
        <v>55</v>
      </c>
      <c r="H243" s="3"/>
      <c r="I243" s="3"/>
      <c r="J243" s="3"/>
      <c r="K243" s="3"/>
      <c r="L243" s="3"/>
      <c r="M243" s="3"/>
      <c r="N243" s="3"/>
      <c r="O243" s="3"/>
      <c r="P243" s="3"/>
      <c r="Q243" s="3"/>
    </row>
    <row r="244" spans="1:17" ht="60" customHeight="1" x14ac:dyDescent="0.25">
      <c r="A244" s="9">
        <f>IF(F244="","",ROW()-19-COUNTBLANK($F$20:F244))</f>
        <v>198</v>
      </c>
      <c r="B244" s="4" t="s">
        <v>2651</v>
      </c>
      <c r="C244" s="4" t="s">
        <v>2483</v>
      </c>
      <c r="D244" s="4" t="s">
        <v>2652</v>
      </c>
      <c r="E244" s="7" t="s">
        <v>3409</v>
      </c>
      <c r="F244" s="7" t="s">
        <v>2654</v>
      </c>
      <c r="G244" s="3" t="s">
        <v>50</v>
      </c>
      <c r="H244" s="3"/>
      <c r="I244" s="3"/>
      <c r="J244" s="3"/>
      <c r="K244" s="3"/>
      <c r="L244" s="3"/>
      <c r="M244" s="3"/>
      <c r="N244" s="3"/>
      <c r="O244" s="3"/>
      <c r="P244" s="3"/>
      <c r="Q244" s="3"/>
    </row>
    <row r="245" spans="1:17" ht="20.100000000000001" customHeight="1" x14ac:dyDescent="0.25">
      <c r="A245" s="9" t="str">
        <f>IF(F245="","",ROW()-19-COUNTBLANK($F$20:F245))</f>
        <v/>
      </c>
      <c r="B245" s="12" t="s">
        <v>2724</v>
      </c>
      <c r="C245" s="12"/>
      <c r="D245" s="12"/>
      <c r="E245" s="12"/>
      <c r="F245" s="12"/>
      <c r="G245" s="12"/>
      <c r="H245" s="12"/>
      <c r="I245" s="12"/>
      <c r="J245" s="12"/>
      <c r="K245" s="12"/>
      <c r="L245" s="12"/>
      <c r="M245" s="12"/>
      <c r="N245" s="12"/>
      <c r="O245" s="12"/>
      <c r="P245" s="12"/>
      <c r="Q245" s="12"/>
    </row>
    <row r="246" spans="1:17" ht="60" customHeight="1" x14ac:dyDescent="0.25">
      <c r="A246" s="9">
        <f>IF(F246="","",ROW()-19-COUNTBLANK($F$20:F246))</f>
        <v>199</v>
      </c>
      <c r="B246" s="4" t="s">
        <v>311</v>
      </c>
      <c r="C246" s="4" t="s">
        <v>312</v>
      </c>
      <c r="D246" s="4"/>
      <c r="E246" s="7" t="s">
        <v>3410</v>
      </c>
      <c r="F246" s="7" t="s">
        <v>2657</v>
      </c>
      <c r="G246" s="3" t="s">
        <v>73</v>
      </c>
      <c r="H246" s="3"/>
      <c r="I246" s="3"/>
      <c r="J246" s="3"/>
      <c r="K246" s="3"/>
      <c r="L246" s="3"/>
      <c r="M246" s="3"/>
      <c r="N246" s="3"/>
      <c r="O246" s="3"/>
      <c r="P246" s="3"/>
      <c r="Q246" s="3"/>
    </row>
    <row r="247" spans="1:17" ht="60" customHeight="1" x14ac:dyDescent="0.25">
      <c r="A247" s="9">
        <f>IF(F247="","",ROW()-19-COUNTBLANK($F$20:F247))</f>
        <v>200</v>
      </c>
      <c r="B247" s="4" t="s">
        <v>315</v>
      </c>
      <c r="C247" s="4" t="s">
        <v>316</v>
      </c>
      <c r="D247" s="4" t="s">
        <v>2658</v>
      </c>
      <c r="E247" s="7" t="s">
        <v>3411</v>
      </c>
      <c r="F247" s="7" t="s">
        <v>2660</v>
      </c>
      <c r="G247" s="3" t="s">
        <v>55</v>
      </c>
      <c r="H247" s="3"/>
      <c r="I247" s="3"/>
      <c r="J247" s="3"/>
      <c r="K247" s="3"/>
      <c r="L247" s="3"/>
      <c r="M247" s="3"/>
      <c r="N247" s="3"/>
      <c r="O247" s="3"/>
      <c r="P247" s="3"/>
      <c r="Q247" s="3"/>
    </row>
    <row r="248" spans="1:17" ht="20.100000000000001" customHeight="1" x14ac:dyDescent="0.25">
      <c r="A248" s="11"/>
      <c r="B248" s="22" t="s">
        <v>1247</v>
      </c>
      <c r="C248" s="23"/>
      <c r="D248" s="23"/>
      <c r="E248" s="23"/>
      <c r="F248" s="24"/>
      <c r="G248" s="11"/>
      <c r="H248" s="11"/>
      <c r="I248" s="11"/>
      <c r="J248" s="11"/>
      <c r="K248" s="11"/>
      <c r="L248" s="11"/>
      <c r="M248" s="11"/>
      <c r="N248" s="11"/>
      <c r="O248" s="11"/>
      <c r="P248" s="11"/>
      <c r="Q248" s="11"/>
    </row>
    <row r="249" spans="1:17" ht="20.100000000000001" customHeight="1" x14ac:dyDescent="0.25">
      <c r="A249" s="9" t="str">
        <f>IF(F249="","",ROW()-19-COUNTBLANK($F$20:F249))</f>
        <v/>
      </c>
      <c r="B249" s="12" t="s">
        <v>2727</v>
      </c>
      <c r="C249" s="12"/>
      <c r="D249" s="12"/>
      <c r="E249" s="12"/>
      <c r="F249" s="12"/>
      <c r="G249" s="12"/>
      <c r="H249" s="12"/>
      <c r="I249" s="12"/>
      <c r="J249" s="12"/>
      <c r="K249" s="12"/>
      <c r="L249" s="12"/>
      <c r="M249" s="12"/>
      <c r="N249" s="12"/>
      <c r="O249" s="12"/>
      <c r="P249" s="12"/>
      <c r="Q249" s="12"/>
    </row>
    <row r="250" spans="1:17" ht="60" customHeight="1" x14ac:dyDescent="0.25">
      <c r="A250" s="9">
        <f>IF(F250="","",ROW()-19-COUNTBLANK($F$20:F250))</f>
        <v>201</v>
      </c>
      <c r="B250" s="4" t="s">
        <v>3412</v>
      </c>
      <c r="C250" s="4" t="s">
        <v>3413</v>
      </c>
      <c r="D250" s="4" t="s">
        <v>3414</v>
      </c>
      <c r="E250" s="7" t="s">
        <v>3415</v>
      </c>
      <c r="F250" s="7" t="s">
        <v>3416</v>
      </c>
      <c r="G250" s="3" t="s">
        <v>50</v>
      </c>
      <c r="H250" s="3"/>
      <c r="I250" s="3"/>
      <c r="J250" s="3"/>
      <c r="K250" s="3"/>
      <c r="L250" s="3"/>
      <c r="M250" s="3"/>
      <c r="N250" s="3"/>
      <c r="O250" s="3"/>
      <c r="P250" s="3"/>
      <c r="Q250" s="3"/>
    </row>
    <row r="251" spans="1:17" ht="60" customHeight="1" x14ac:dyDescent="0.25">
      <c r="A251" s="9">
        <f>IF(F251="","",ROW()-19-COUNTBLANK($F$20:F251))</f>
        <v>202</v>
      </c>
      <c r="B251" s="4" t="s">
        <v>3417</v>
      </c>
      <c r="C251" s="4" t="s">
        <v>3418</v>
      </c>
      <c r="D251" s="4" t="s">
        <v>3419</v>
      </c>
      <c r="E251" s="7" t="s">
        <v>3207</v>
      </c>
      <c r="F251" s="7" t="s">
        <v>3420</v>
      </c>
      <c r="G251" s="3" t="s">
        <v>50</v>
      </c>
      <c r="H251" s="3"/>
      <c r="I251" s="3"/>
      <c r="J251" s="3"/>
      <c r="K251" s="3"/>
      <c r="L251" s="3"/>
      <c r="M251" s="3"/>
      <c r="N251" s="3"/>
      <c r="O251" s="3"/>
      <c r="P251" s="3"/>
      <c r="Q251" s="3"/>
    </row>
    <row r="252" spans="1:17" ht="60" customHeight="1" x14ac:dyDescent="0.25">
      <c r="A252" s="9">
        <f>IF(F252="","",ROW()-19-COUNTBLANK($F$20:F252))</f>
        <v>203</v>
      </c>
      <c r="B252" s="4" t="s">
        <v>3421</v>
      </c>
      <c r="C252" s="4" t="s">
        <v>3422</v>
      </c>
      <c r="D252" s="4" t="s">
        <v>3423</v>
      </c>
      <c r="E252" s="7" t="s">
        <v>3207</v>
      </c>
      <c r="F252" s="7" t="s">
        <v>3424</v>
      </c>
      <c r="G252" s="3" t="s">
        <v>50</v>
      </c>
      <c r="H252" s="3"/>
      <c r="I252" s="3"/>
      <c r="J252" s="3"/>
      <c r="K252" s="3"/>
      <c r="L252" s="3"/>
      <c r="M252" s="3"/>
      <c r="N252" s="3"/>
      <c r="O252" s="3"/>
      <c r="P252" s="3"/>
      <c r="Q252" s="3"/>
    </row>
    <row r="253" spans="1:17" ht="60" customHeight="1" x14ac:dyDescent="0.25">
      <c r="A253" s="9">
        <f>IF(F253="","",ROW()-19-COUNTBLANK($F$20:F253))</f>
        <v>204</v>
      </c>
      <c r="B253" s="4" t="s">
        <v>3425</v>
      </c>
      <c r="C253" s="4" t="s">
        <v>3426</v>
      </c>
      <c r="D253" s="4"/>
      <c r="E253" s="7" t="s">
        <v>3427</v>
      </c>
      <c r="F253" s="7" t="s">
        <v>3428</v>
      </c>
      <c r="G253" s="3" t="s">
        <v>55</v>
      </c>
      <c r="H253" s="3"/>
      <c r="I253" s="3"/>
      <c r="J253" s="3"/>
      <c r="K253" s="3"/>
      <c r="L253" s="3"/>
      <c r="M253" s="3"/>
      <c r="N253" s="3"/>
      <c r="O253" s="3"/>
      <c r="P253" s="3"/>
      <c r="Q253" s="3"/>
    </row>
    <row r="254" spans="1:17" ht="60" customHeight="1" x14ac:dyDescent="0.25">
      <c r="A254" s="9">
        <f>IF(F254="","",ROW()-19-COUNTBLANK($F$20:F254))</f>
        <v>205</v>
      </c>
      <c r="B254" s="4" t="s">
        <v>3429</v>
      </c>
      <c r="C254" s="4" t="s">
        <v>3430</v>
      </c>
      <c r="D254" s="4" t="s">
        <v>3431</v>
      </c>
      <c r="E254" s="7" t="s">
        <v>3432</v>
      </c>
      <c r="F254" s="7" t="s">
        <v>3433</v>
      </c>
      <c r="G254" s="3" t="s">
        <v>50</v>
      </c>
      <c r="H254" s="3"/>
      <c r="I254" s="3"/>
      <c r="J254" s="3"/>
      <c r="K254" s="3"/>
      <c r="L254" s="3"/>
      <c r="M254" s="3"/>
      <c r="N254" s="3"/>
      <c r="O254" s="3"/>
      <c r="P254" s="3"/>
      <c r="Q254" s="3"/>
    </row>
    <row r="255" spans="1:17" ht="60" customHeight="1" x14ac:dyDescent="0.25">
      <c r="A255" s="9">
        <f>IF(F255="","",ROW()-19-COUNTBLANK($F$20:F255))</f>
        <v>206</v>
      </c>
      <c r="B255" s="4" t="s">
        <v>2737</v>
      </c>
      <c r="C255" s="4" t="s">
        <v>2738</v>
      </c>
      <c r="D255" s="4"/>
      <c r="E255" s="7" t="s">
        <v>3434</v>
      </c>
      <c r="F255" s="7" t="s">
        <v>3435</v>
      </c>
      <c r="G255" s="3" t="s">
        <v>50</v>
      </c>
      <c r="H255" s="3"/>
      <c r="I255" s="3"/>
      <c r="J255" s="3"/>
      <c r="K255" s="3"/>
      <c r="L255" s="3"/>
      <c r="M255" s="3"/>
      <c r="N255" s="3"/>
      <c r="O255" s="3"/>
      <c r="P255" s="3"/>
      <c r="Q255" s="3"/>
    </row>
    <row r="256" spans="1:17" ht="60" customHeight="1" x14ac:dyDescent="0.25">
      <c r="A256" s="9">
        <f>IF(F256="","",ROW()-19-COUNTBLANK($F$20:F256))</f>
        <v>207</v>
      </c>
      <c r="B256" s="4" t="s">
        <v>2741</v>
      </c>
      <c r="C256" s="4" t="s">
        <v>2742</v>
      </c>
      <c r="D256" s="4"/>
      <c r="E256" s="7" t="s">
        <v>3436</v>
      </c>
      <c r="F256" s="7" t="s">
        <v>3437</v>
      </c>
      <c r="G256" s="3" t="s">
        <v>50</v>
      </c>
      <c r="H256" s="3"/>
      <c r="I256" s="3"/>
      <c r="J256" s="3"/>
      <c r="K256" s="3"/>
      <c r="L256" s="3"/>
      <c r="M256" s="3"/>
      <c r="N256" s="3"/>
      <c r="O256" s="3"/>
      <c r="P256" s="3"/>
      <c r="Q256" s="3"/>
    </row>
    <row r="257" spans="1:17" ht="60" customHeight="1" x14ac:dyDescent="0.25">
      <c r="A257" s="9">
        <f>IF(F257="","",ROW()-19-COUNTBLANK($F$20:F257))</f>
        <v>208</v>
      </c>
      <c r="B257" s="17" t="s">
        <v>2745</v>
      </c>
      <c r="C257" s="4" t="s">
        <v>2746</v>
      </c>
      <c r="D257" s="4" t="s">
        <v>2747</v>
      </c>
      <c r="E257" s="7" t="s">
        <v>3438</v>
      </c>
      <c r="F257" s="7" t="s">
        <v>2749</v>
      </c>
      <c r="G257" s="3" t="s">
        <v>50</v>
      </c>
      <c r="H257" s="3"/>
      <c r="I257" s="3"/>
      <c r="J257" s="3"/>
      <c r="K257" s="3"/>
      <c r="L257" s="3"/>
      <c r="M257" s="3"/>
      <c r="N257" s="3"/>
      <c r="O257" s="3"/>
      <c r="P257" s="3"/>
      <c r="Q257" s="3"/>
    </row>
    <row r="258" spans="1:17" ht="60" customHeight="1" x14ac:dyDescent="0.25">
      <c r="A258" s="9">
        <f>IF(F258="","",ROW()-19-COUNTBLANK($F$20:F258))</f>
        <v>209</v>
      </c>
      <c r="B258" s="18"/>
      <c r="C258" s="4" t="s">
        <v>2750</v>
      </c>
      <c r="D258" s="4" t="s">
        <v>2751</v>
      </c>
      <c r="E258" s="7" t="s">
        <v>3438</v>
      </c>
      <c r="F258" s="7" t="s">
        <v>2752</v>
      </c>
      <c r="G258" s="3" t="s">
        <v>50</v>
      </c>
      <c r="H258" s="3"/>
      <c r="I258" s="3"/>
      <c r="J258" s="3"/>
      <c r="K258" s="3"/>
      <c r="L258" s="3"/>
      <c r="M258" s="3"/>
      <c r="N258" s="3"/>
      <c r="O258" s="3"/>
      <c r="P258" s="3"/>
      <c r="Q258" s="3"/>
    </row>
    <row r="259" spans="1:17" ht="60" customHeight="1" x14ac:dyDescent="0.25">
      <c r="A259" s="9">
        <f>IF(F259="","",ROW()-19-COUNTBLANK($F$20:F259))</f>
        <v>210</v>
      </c>
      <c r="B259" s="18"/>
      <c r="C259" s="4" t="s">
        <v>2753</v>
      </c>
      <c r="D259" s="4" t="s">
        <v>2754</v>
      </c>
      <c r="E259" s="7" t="s">
        <v>3438</v>
      </c>
      <c r="F259" s="7" t="s">
        <v>2755</v>
      </c>
      <c r="G259" s="3" t="s">
        <v>50</v>
      </c>
      <c r="H259" s="3"/>
      <c r="I259" s="3"/>
      <c r="J259" s="3"/>
      <c r="K259" s="3"/>
      <c r="L259" s="3"/>
      <c r="M259" s="3"/>
      <c r="N259" s="3"/>
      <c r="O259" s="3"/>
      <c r="P259" s="3"/>
      <c r="Q259" s="3"/>
    </row>
    <row r="260" spans="1:17" ht="60" customHeight="1" x14ac:dyDescent="0.25">
      <c r="A260" s="9">
        <f>IF(F260="","",ROW()-19-COUNTBLANK($F$20:F260))</f>
        <v>211</v>
      </c>
      <c r="B260" s="18"/>
      <c r="C260" s="4" t="s">
        <v>2756</v>
      </c>
      <c r="D260" s="4" t="s">
        <v>2757</v>
      </c>
      <c r="E260" s="7" t="s">
        <v>3438</v>
      </c>
      <c r="F260" s="7" t="s">
        <v>2758</v>
      </c>
      <c r="G260" s="3" t="s">
        <v>55</v>
      </c>
      <c r="H260" s="3"/>
      <c r="I260" s="3"/>
      <c r="J260" s="3"/>
      <c r="K260" s="3"/>
      <c r="L260" s="3"/>
      <c r="M260" s="3"/>
      <c r="N260" s="3"/>
      <c r="O260" s="3"/>
      <c r="P260" s="3"/>
      <c r="Q260" s="3"/>
    </row>
    <row r="261" spans="1:17" ht="60" customHeight="1" x14ac:dyDescent="0.25">
      <c r="A261" s="9">
        <f>IF(F261="","",ROW()-19-COUNTBLANK($F$20:F261))</f>
        <v>212</v>
      </c>
      <c r="B261" s="18"/>
      <c r="C261" s="4" t="s">
        <v>2759</v>
      </c>
      <c r="D261" s="4" t="s">
        <v>2760</v>
      </c>
      <c r="E261" s="7" t="s">
        <v>3207</v>
      </c>
      <c r="F261" s="7" t="s">
        <v>2761</v>
      </c>
      <c r="G261" s="3" t="s">
        <v>50</v>
      </c>
      <c r="H261" s="3"/>
      <c r="I261" s="3"/>
      <c r="J261" s="3"/>
      <c r="K261" s="3"/>
      <c r="L261" s="3"/>
      <c r="M261" s="3"/>
      <c r="N261" s="3"/>
      <c r="O261" s="3"/>
      <c r="P261" s="3"/>
      <c r="Q261" s="3"/>
    </row>
    <row r="262" spans="1:17" ht="60" customHeight="1" x14ac:dyDescent="0.25">
      <c r="A262" s="9">
        <f>IF(F262="","",ROW()-19-COUNTBLANK($F$20:F262))</f>
        <v>213</v>
      </c>
      <c r="B262" s="19"/>
      <c r="C262" s="4" t="s">
        <v>2762</v>
      </c>
      <c r="D262" s="4" t="s">
        <v>2763</v>
      </c>
      <c r="E262" s="7" t="s">
        <v>3438</v>
      </c>
      <c r="F262" s="7" t="s">
        <v>2764</v>
      </c>
      <c r="G262" s="3" t="s">
        <v>50</v>
      </c>
      <c r="H262" s="3"/>
      <c r="I262" s="3"/>
      <c r="J262" s="3"/>
      <c r="K262" s="3"/>
      <c r="L262" s="3"/>
      <c r="M262" s="3"/>
      <c r="N262" s="3"/>
      <c r="O262" s="3"/>
      <c r="P262" s="3"/>
      <c r="Q262" s="3"/>
    </row>
    <row r="263" spans="1:17" ht="60" customHeight="1" x14ac:dyDescent="0.25">
      <c r="A263" s="9">
        <f>IF(F263="","",ROW()-19-COUNTBLANK($F$20:F263))</f>
        <v>214</v>
      </c>
      <c r="B263" s="4" t="s">
        <v>2765</v>
      </c>
      <c r="C263" s="4" t="s">
        <v>2766</v>
      </c>
      <c r="D263" s="4" t="s">
        <v>2767</v>
      </c>
      <c r="E263" s="7" t="s">
        <v>3439</v>
      </c>
      <c r="F263" s="7" t="s">
        <v>2769</v>
      </c>
      <c r="G263" s="3" t="s">
        <v>50</v>
      </c>
      <c r="H263" s="3"/>
      <c r="I263" s="3"/>
      <c r="J263" s="3"/>
      <c r="K263" s="3"/>
      <c r="L263" s="3"/>
      <c r="M263" s="3"/>
      <c r="N263" s="3"/>
      <c r="O263" s="3"/>
      <c r="P263" s="3"/>
      <c r="Q263" s="3"/>
    </row>
    <row r="264" spans="1:17" ht="60" customHeight="1" x14ac:dyDescent="0.25">
      <c r="A264" s="9">
        <f>IF(F264="","",ROW()-19-COUNTBLANK($F$20:F264))</f>
        <v>215</v>
      </c>
      <c r="B264" s="4" t="s">
        <v>2770</v>
      </c>
      <c r="C264" s="4" t="s">
        <v>2771</v>
      </c>
      <c r="D264" s="4" t="s">
        <v>2772</v>
      </c>
      <c r="E264" s="7" t="s">
        <v>3207</v>
      </c>
      <c r="F264" s="7" t="s">
        <v>2773</v>
      </c>
      <c r="G264" s="3" t="s">
        <v>50</v>
      </c>
      <c r="H264" s="3"/>
      <c r="I264" s="3"/>
      <c r="J264" s="3"/>
      <c r="K264" s="3"/>
      <c r="L264" s="3"/>
      <c r="M264" s="3"/>
      <c r="N264" s="3"/>
      <c r="O264" s="3"/>
      <c r="P264" s="3"/>
      <c r="Q264" s="3"/>
    </row>
    <row r="265" spans="1:17" ht="60" customHeight="1" x14ac:dyDescent="0.25">
      <c r="A265" s="9">
        <f>IF(F265="","",ROW()-19-COUNTBLANK($F$20:F265))</f>
        <v>216</v>
      </c>
      <c r="B265" s="4" t="s">
        <v>2774</v>
      </c>
      <c r="C265" s="4" t="s">
        <v>2775</v>
      </c>
      <c r="D265" s="4" t="s">
        <v>2776</v>
      </c>
      <c r="E265" s="7" t="s">
        <v>3207</v>
      </c>
      <c r="F265" s="7" t="s">
        <v>2777</v>
      </c>
      <c r="G265" s="3" t="s">
        <v>50</v>
      </c>
      <c r="H265" s="3"/>
      <c r="I265" s="3"/>
      <c r="J265" s="3"/>
      <c r="K265" s="3"/>
      <c r="L265" s="3"/>
      <c r="M265" s="3"/>
      <c r="N265" s="3"/>
      <c r="O265" s="3"/>
      <c r="P265" s="3"/>
      <c r="Q265" s="3"/>
    </row>
    <row r="266" spans="1:17" ht="60" customHeight="1" x14ac:dyDescent="0.25">
      <c r="A266" s="9">
        <f>IF(F266="","",ROW()-19-COUNTBLANK($F$20:F266))</f>
        <v>217</v>
      </c>
      <c r="B266" s="4" t="s">
        <v>2778</v>
      </c>
      <c r="C266" s="4" t="s">
        <v>2779</v>
      </c>
      <c r="D266" s="4" t="s">
        <v>2780</v>
      </c>
      <c r="E266" s="7" t="s">
        <v>3207</v>
      </c>
      <c r="F266" s="7" t="s">
        <v>2781</v>
      </c>
      <c r="G266" s="3" t="s">
        <v>50</v>
      </c>
      <c r="H266" s="3"/>
      <c r="I266" s="3"/>
      <c r="J266" s="3"/>
      <c r="K266" s="3"/>
      <c r="L266" s="3"/>
      <c r="M266" s="3"/>
      <c r="N266" s="3"/>
      <c r="O266" s="3"/>
      <c r="P266" s="3"/>
      <c r="Q266" s="3"/>
    </row>
    <row r="267" spans="1:17" ht="60" customHeight="1" x14ac:dyDescent="0.25">
      <c r="A267" s="9">
        <f>IF(F267="","",ROW()-19-COUNTBLANK($F$20:F267))</f>
        <v>218</v>
      </c>
      <c r="B267" s="4" t="s">
        <v>2782</v>
      </c>
      <c r="C267" s="4" t="s">
        <v>2783</v>
      </c>
      <c r="D267" s="4" t="s">
        <v>2784</v>
      </c>
      <c r="E267" s="7" t="s">
        <v>3207</v>
      </c>
      <c r="F267" s="7" t="s">
        <v>2785</v>
      </c>
      <c r="G267" s="3" t="s">
        <v>50</v>
      </c>
      <c r="H267" s="3"/>
      <c r="I267" s="3"/>
      <c r="J267" s="3"/>
      <c r="K267" s="3"/>
      <c r="L267" s="3"/>
      <c r="M267" s="3"/>
      <c r="N267" s="3"/>
      <c r="O267" s="3"/>
      <c r="P267" s="3"/>
      <c r="Q267" s="3"/>
    </row>
    <row r="268" spans="1:17" ht="60" customHeight="1" x14ac:dyDescent="0.25">
      <c r="A268" s="9">
        <f>IF(F268="","",ROW()-19-COUNTBLANK($F$20:F268))</f>
        <v>219</v>
      </c>
      <c r="B268" s="4" t="s">
        <v>1812</v>
      </c>
      <c r="C268" s="4" t="s">
        <v>2786</v>
      </c>
      <c r="D268" s="4" t="s">
        <v>1862</v>
      </c>
      <c r="E268" s="7" t="s">
        <v>3440</v>
      </c>
      <c r="F268" s="7" t="s">
        <v>2788</v>
      </c>
      <c r="G268" s="3" t="s">
        <v>55</v>
      </c>
      <c r="H268" s="3"/>
      <c r="I268" s="3"/>
      <c r="J268" s="3"/>
      <c r="K268" s="3"/>
      <c r="L268" s="3"/>
      <c r="M268" s="3"/>
      <c r="N268" s="3"/>
      <c r="O268" s="3"/>
      <c r="P268" s="3"/>
      <c r="Q268" s="3"/>
    </row>
    <row r="269" spans="1:17" ht="60" customHeight="1" x14ac:dyDescent="0.25">
      <c r="A269" s="9">
        <f>IF(F269="","",ROW()-19-COUNTBLANK($F$20:F269))</f>
        <v>220</v>
      </c>
      <c r="B269" s="17" t="s">
        <v>2789</v>
      </c>
      <c r="C269" s="4" t="s">
        <v>2586</v>
      </c>
      <c r="D269" s="4" t="s">
        <v>2790</v>
      </c>
      <c r="E269" s="7" t="s">
        <v>3207</v>
      </c>
      <c r="F269" s="7" t="s">
        <v>2791</v>
      </c>
      <c r="G269" s="3" t="s">
        <v>50</v>
      </c>
      <c r="H269" s="3"/>
      <c r="I269" s="3"/>
      <c r="J269" s="3"/>
      <c r="K269" s="3"/>
      <c r="L269" s="3"/>
      <c r="M269" s="3"/>
      <c r="N269" s="3"/>
      <c r="O269" s="3"/>
      <c r="P269" s="3"/>
      <c r="Q269" s="3"/>
    </row>
    <row r="270" spans="1:17" ht="60" customHeight="1" x14ac:dyDescent="0.25">
      <c r="A270" s="9">
        <f>IF(F270="","",ROW()-19-COUNTBLANK($F$20:F270))</f>
        <v>221</v>
      </c>
      <c r="B270" s="18"/>
      <c r="C270" s="4" t="s">
        <v>2792</v>
      </c>
      <c r="D270" s="4" t="s">
        <v>2793</v>
      </c>
      <c r="E270" s="7" t="s">
        <v>3207</v>
      </c>
      <c r="F270" s="7" t="s">
        <v>2791</v>
      </c>
      <c r="G270" s="3" t="s">
        <v>50</v>
      </c>
      <c r="H270" s="3"/>
      <c r="I270" s="3"/>
      <c r="J270" s="3"/>
      <c r="K270" s="3"/>
      <c r="L270" s="3"/>
      <c r="M270" s="3"/>
      <c r="N270" s="3"/>
      <c r="O270" s="3"/>
      <c r="P270" s="3"/>
      <c r="Q270" s="3"/>
    </row>
    <row r="271" spans="1:17" ht="60" customHeight="1" x14ac:dyDescent="0.25">
      <c r="A271" s="9">
        <f>IF(F271="","",ROW()-19-COUNTBLANK($F$20:F271))</f>
        <v>222</v>
      </c>
      <c r="B271" s="18"/>
      <c r="C271" s="4" t="s">
        <v>2794</v>
      </c>
      <c r="D271" s="4" t="s">
        <v>2795</v>
      </c>
      <c r="E271" s="7" t="s">
        <v>3207</v>
      </c>
      <c r="F271" s="7" t="s">
        <v>2796</v>
      </c>
      <c r="G271" s="3" t="s">
        <v>55</v>
      </c>
      <c r="H271" s="3"/>
      <c r="I271" s="3"/>
      <c r="J271" s="3"/>
      <c r="K271" s="3"/>
      <c r="L271" s="3"/>
      <c r="M271" s="3"/>
      <c r="N271" s="3"/>
      <c r="O271" s="3"/>
      <c r="P271" s="3"/>
      <c r="Q271" s="3"/>
    </row>
    <row r="272" spans="1:17" ht="60" customHeight="1" x14ac:dyDescent="0.25">
      <c r="A272" s="9">
        <f>IF(F272="","",ROW()-19-COUNTBLANK($F$20:F272))</f>
        <v>223</v>
      </c>
      <c r="B272" s="19"/>
      <c r="C272" s="4" t="s">
        <v>2797</v>
      </c>
      <c r="D272" s="4" t="s">
        <v>2798</v>
      </c>
      <c r="E272" s="7" t="s">
        <v>3207</v>
      </c>
      <c r="F272" s="7" t="s">
        <v>2799</v>
      </c>
      <c r="G272" s="3" t="s">
        <v>50</v>
      </c>
      <c r="H272" s="3"/>
      <c r="I272" s="3"/>
      <c r="J272" s="3"/>
      <c r="K272" s="3"/>
      <c r="L272" s="3"/>
      <c r="M272" s="3"/>
      <c r="N272" s="3"/>
      <c r="O272" s="3"/>
      <c r="P272" s="3"/>
      <c r="Q272" s="3"/>
    </row>
    <row r="273" spans="1:17" ht="60" customHeight="1" x14ac:dyDescent="0.25">
      <c r="A273" s="9">
        <f>IF(F273="","",ROW()-19-COUNTBLANK($F$20:F273))</f>
        <v>224</v>
      </c>
      <c r="B273" s="17" t="s">
        <v>2800</v>
      </c>
      <c r="C273" s="4" t="s">
        <v>2801</v>
      </c>
      <c r="D273" s="4" t="s">
        <v>2802</v>
      </c>
      <c r="E273" s="7" t="s">
        <v>3441</v>
      </c>
      <c r="F273" s="7" t="s">
        <v>2804</v>
      </c>
      <c r="G273" s="3" t="s">
        <v>50</v>
      </c>
      <c r="H273" s="3"/>
      <c r="I273" s="3"/>
      <c r="J273" s="3"/>
      <c r="K273" s="3"/>
      <c r="L273" s="3"/>
      <c r="M273" s="3"/>
      <c r="N273" s="3"/>
      <c r="O273" s="3"/>
      <c r="P273" s="3"/>
      <c r="Q273" s="3"/>
    </row>
    <row r="274" spans="1:17" ht="60" customHeight="1" x14ac:dyDescent="0.25">
      <c r="A274" s="9">
        <f>IF(F274="","",ROW()-19-COUNTBLANK($F$20:F274))</f>
        <v>225</v>
      </c>
      <c r="B274" s="18"/>
      <c r="C274" s="4" t="s">
        <v>2805</v>
      </c>
      <c r="D274" s="4" t="s">
        <v>2806</v>
      </c>
      <c r="E274" s="7" t="s">
        <v>3207</v>
      </c>
      <c r="F274" s="7" t="s">
        <v>2807</v>
      </c>
      <c r="G274" s="3" t="s">
        <v>55</v>
      </c>
      <c r="H274" s="3"/>
      <c r="I274" s="3"/>
      <c r="J274" s="3"/>
      <c r="K274" s="3"/>
      <c r="L274" s="3"/>
      <c r="M274" s="3"/>
      <c r="N274" s="3"/>
      <c r="O274" s="3"/>
      <c r="P274" s="3"/>
      <c r="Q274" s="3"/>
    </row>
    <row r="275" spans="1:17" ht="60" customHeight="1" x14ac:dyDescent="0.25">
      <c r="A275" s="9">
        <f>IF(F275="","",ROW()-19-COUNTBLANK($F$20:F275))</f>
        <v>226</v>
      </c>
      <c r="B275" s="19"/>
      <c r="C275" s="4" t="s">
        <v>2808</v>
      </c>
      <c r="D275" s="4" t="s">
        <v>2809</v>
      </c>
      <c r="E275" s="7" t="s">
        <v>3441</v>
      </c>
      <c r="F275" s="7" t="s">
        <v>2810</v>
      </c>
      <c r="G275" s="3" t="s">
        <v>55</v>
      </c>
      <c r="H275" s="3"/>
      <c r="I275" s="3"/>
      <c r="J275" s="3"/>
      <c r="K275" s="3"/>
      <c r="L275" s="3"/>
      <c r="M275" s="3"/>
      <c r="N275" s="3"/>
      <c r="O275" s="3"/>
      <c r="P275" s="3"/>
      <c r="Q275" s="3"/>
    </row>
    <row r="276" spans="1:17" ht="60" customHeight="1" x14ac:dyDescent="0.25">
      <c r="A276" s="9">
        <f>IF(F276="","",ROW()-19-COUNTBLANK($F$20:F276))</f>
        <v>227</v>
      </c>
      <c r="B276" s="4" t="s">
        <v>2811</v>
      </c>
      <c r="C276" s="4" t="s">
        <v>2812</v>
      </c>
      <c r="D276" s="4" t="s">
        <v>2813</v>
      </c>
      <c r="E276" s="7" t="s">
        <v>3207</v>
      </c>
      <c r="F276" s="7" t="s">
        <v>2814</v>
      </c>
      <c r="G276" s="3" t="s">
        <v>50</v>
      </c>
      <c r="H276" s="3"/>
      <c r="I276" s="3"/>
      <c r="J276" s="3"/>
      <c r="K276" s="3"/>
      <c r="L276" s="3"/>
      <c r="M276" s="3"/>
      <c r="N276" s="3"/>
      <c r="O276" s="3"/>
      <c r="P276" s="3"/>
      <c r="Q276" s="3"/>
    </row>
    <row r="277" spans="1:17" ht="60" customHeight="1" x14ac:dyDescent="0.25">
      <c r="A277" s="9">
        <f>IF(F277="","",ROW()-19-COUNTBLANK($F$20:F277))</f>
        <v>228</v>
      </c>
      <c r="B277" s="17" t="s">
        <v>2815</v>
      </c>
      <c r="C277" s="4" t="s">
        <v>2816</v>
      </c>
      <c r="D277" s="4" t="s">
        <v>2817</v>
      </c>
      <c r="E277" s="7" t="s">
        <v>3442</v>
      </c>
      <c r="F277" s="7" t="s">
        <v>2819</v>
      </c>
      <c r="G277" s="3" t="s">
        <v>50</v>
      </c>
      <c r="H277" s="3"/>
      <c r="I277" s="3"/>
      <c r="J277" s="3"/>
      <c r="K277" s="3"/>
      <c r="L277" s="3"/>
      <c r="M277" s="3"/>
      <c r="N277" s="3"/>
      <c r="O277" s="3"/>
      <c r="P277" s="3"/>
      <c r="Q277" s="3"/>
    </row>
    <row r="278" spans="1:17" ht="60" customHeight="1" x14ac:dyDescent="0.25">
      <c r="A278" s="9">
        <f>IF(F278="","",ROW()-19-COUNTBLANK($F$20:F278))</f>
        <v>229</v>
      </c>
      <c r="B278" s="18"/>
      <c r="C278" s="4" t="s">
        <v>2820</v>
      </c>
      <c r="D278" s="4" t="s">
        <v>2821</v>
      </c>
      <c r="E278" s="7" t="s">
        <v>3442</v>
      </c>
      <c r="F278" s="7" t="s">
        <v>2822</v>
      </c>
      <c r="G278" s="3" t="s">
        <v>50</v>
      </c>
      <c r="H278" s="3"/>
      <c r="I278" s="3"/>
      <c r="J278" s="3"/>
      <c r="K278" s="3"/>
      <c r="L278" s="3"/>
      <c r="M278" s="3"/>
      <c r="N278" s="3"/>
      <c r="O278" s="3"/>
      <c r="P278" s="3"/>
      <c r="Q278" s="3"/>
    </row>
    <row r="279" spans="1:17" ht="60" customHeight="1" x14ac:dyDescent="0.25">
      <c r="A279" s="9">
        <f>IF(F279="","",ROW()-19-COUNTBLANK($F$20:F279))</f>
        <v>230</v>
      </c>
      <c r="B279" s="18"/>
      <c r="C279" s="4" t="s">
        <v>2823</v>
      </c>
      <c r="D279" s="4" t="s">
        <v>2824</v>
      </c>
      <c r="E279" s="7" t="s">
        <v>3442</v>
      </c>
      <c r="F279" s="7" t="s">
        <v>2825</v>
      </c>
      <c r="G279" s="3" t="s">
        <v>50</v>
      </c>
      <c r="H279" s="3"/>
      <c r="I279" s="3"/>
      <c r="J279" s="3"/>
      <c r="K279" s="3"/>
      <c r="L279" s="3"/>
      <c r="M279" s="3"/>
      <c r="N279" s="3"/>
      <c r="O279" s="3"/>
      <c r="P279" s="3"/>
      <c r="Q279" s="3"/>
    </row>
    <row r="280" spans="1:17" ht="60" customHeight="1" x14ac:dyDescent="0.25">
      <c r="A280" s="9">
        <f>IF(F280="","",ROW()-19-COUNTBLANK($F$20:F280))</f>
        <v>231</v>
      </c>
      <c r="B280" s="19"/>
      <c r="C280" s="4" t="s">
        <v>2826</v>
      </c>
      <c r="D280" s="4" t="s">
        <v>2827</v>
      </c>
      <c r="E280" s="7" t="s">
        <v>3442</v>
      </c>
      <c r="F280" s="7" t="s">
        <v>2828</v>
      </c>
      <c r="G280" s="3" t="s">
        <v>55</v>
      </c>
      <c r="H280" s="3"/>
      <c r="I280" s="3"/>
      <c r="J280" s="3"/>
      <c r="K280" s="3"/>
      <c r="L280" s="3"/>
      <c r="M280" s="3"/>
      <c r="N280" s="3"/>
      <c r="O280" s="3"/>
      <c r="P280" s="3"/>
      <c r="Q280" s="3"/>
    </row>
    <row r="281" spans="1:17" ht="60" customHeight="1" x14ac:dyDescent="0.25">
      <c r="A281" s="9">
        <f>IF(F281="","",ROW()-19-COUNTBLANK($F$20:F281))</f>
        <v>232</v>
      </c>
      <c r="B281" s="17" t="s">
        <v>2829</v>
      </c>
      <c r="C281" s="4" t="s">
        <v>2816</v>
      </c>
      <c r="D281" s="4" t="s">
        <v>2830</v>
      </c>
      <c r="E281" s="7" t="s">
        <v>3442</v>
      </c>
      <c r="F281" s="7" t="s">
        <v>2819</v>
      </c>
      <c r="G281" s="3" t="s">
        <v>50</v>
      </c>
      <c r="H281" s="3"/>
      <c r="I281" s="3"/>
      <c r="J281" s="3"/>
      <c r="K281" s="3"/>
      <c r="L281" s="3"/>
      <c r="M281" s="3"/>
      <c r="N281" s="3"/>
      <c r="O281" s="3"/>
      <c r="P281" s="3"/>
      <c r="Q281" s="3"/>
    </row>
    <row r="282" spans="1:17" ht="60" customHeight="1" x14ac:dyDescent="0.25">
      <c r="A282" s="9">
        <f>IF(F282="","",ROW()-19-COUNTBLANK($F$20:F282))</f>
        <v>233</v>
      </c>
      <c r="B282" s="18"/>
      <c r="C282" s="4" t="s">
        <v>2820</v>
      </c>
      <c r="D282" s="4" t="s">
        <v>2831</v>
      </c>
      <c r="E282" s="7" t="s">
        <v>3442</v>
      </c>
      <c r="F282" s="7" t="s">
        <v>2822</v>
      </c>
      <c r="G282" s="3" t="s">
        <v>50</v>
      </c>
      <c r="H282" s="3"/>
      <c r="I282" s="3"/>
      <c r="J282" s="3"/>
      <c r="K282" s="3"/>
      <c r="L282" s="3"/>
      <c r="M282" s="3"/>
      <c r="N282" s="3"/>
      <c r="O282" s="3"/>
      <c r="P282" s="3"/>
      <c r="Q282" s="3"/>
    </row>
    <row r="283" spans="1:17" ht="60" customHeight="1" x14ac:dyDescent="0.25">
      <c r="A283" s="9">
        <f>IF(F283="","",ROW()-19-COUNTBLANK($F$20:F283))</f>
        <v>234</v>
      </c>
      <c r="B283" s="18"/>
      <c r="C283" s="4" t="s">
        <v>2823</v>
      </c>
      <c r="D283" s="4" t="s">
        <v>2832</v>
      </c>
      <c r="E283" s="7" t="s">
        <v>3442</v>
      </c>
      <c r="F283" s="7" t="s">
        <v>2825</v>
      </c>
      <c r="G283" s="3" t="s">
        <v>50</v>
      </c>
      <c r="H283" s="3"/>
      <c r="I283" s="3"/>
      <c r="J283" s="3"/>
      <c r="K283" s="3"/>
      <c r="L283" s="3"/>
      <c r="M283" s="3"/>
      <c r="N283" s="3"/>
      <c r="O283" s="3"/>
      <c r="P283" s="3"/>
      <c r="Q283" s="3"/>
    </row>
    <row r="284" spans="1:17" ht="60" customHeight="1" x14ac:dyDescent="0.25">
      <c r="A284" s="9">
        <f>IF(F284="","",ROW()-19-COUNTBLANK($F$20:F284))</f>
        <v>235</v>
      </c>
      <c r="B284" s="19"/>
      <c r="C284" s="4" t="s">
        <v>2826</v>
      </c>
      <c r="D284" s="4" t="s">
        <v>2833</v>
      </c>
      <c r="E284" s="7" t="s">
        <v>3442</v>
      </c>
      <c r="F284" s="7" t="s">
        <v>2828</v>
      </c>
      <c r="G284" s="3" t="s">
        <v>55</v>
      </c>
      <c r="H284" s="3"/>
      <c r="I284" s="3"/>
      <c r="J284" s="3"/>
      <c r="K284" s="3"/>
      <c r="L284" s="3"/>
      <c r="M284" s="3"/>
      <c r="N284" s="3"/>
      <c r="O284" s="3"/>
      <c r="P284" s="3"/>
      <c r="Q284" s="3"/>
    </row>
    <row r="285" spans="1:17" ht="60" customHeight="1" x14ac:dyDescent="0.25">
      <c r="A285" s="9">
        <f>IF(F285="","",ROW()-19-COUNTBLANK($F$20:F285))</f>
        <v>236</v>
      </c>
      <c r="B285" s="17" t="s">
        <v>2834</v>
      </c>
      <c r="C285" s="4" t="s">
        <v>2816</v>
      </c>
      <c r="D285" s="4" t="s">
        <v>2835</v>
      </c>
      <c r="E285" s="7" t="s">
        <v>3442</v>
      </c>
      <c r="F285" s="7" t="s">
        <v>2819</v>
      </c>
      <c r="G285" s="3" t="s">
        <v>50</v>
      </c>
      <c r="H285" s="3"/>
      <c r="I285" s="3"/>
      <c r="J285" s="3"/>
      <c r="K285" s="3"/>
      <c r="L285" s="3"/>
      <c r="M285" s="3"/>
      <c r="N285" s="3"/>
      <c r="O285" s="3"/>
      <c r="P285" s="3"/>
      <c r="Q285" s="3"/>
    </row>
    <row r="286" spans="1:17" ht="60" customHeight="1" x14ac:dyDescent="0.25">
      <c r="A286" s="9">
        <f>IF(F286="","",ROW()-19-COUNTBLANK($F$20:F286))</f>
        <v>237</v>
      </c>
      <c r="B286" s="18"/>
      <c r="C286" s="4" t="s">
        <v>2820</v>
      </c>
      <c r="D286" s="4" t="s">
        <v>2836</v>
      </c>
      <c r="E286" s="7" t="s">
        <v>3442</v>
      </c>
      <c r="F286" s="7" t="s">
        <v>2822</v>
      </c>
      <c r="G286" s="3" t="s">
        <v>50</v>
      </c>
      <c r="H286" s="3"/>
      <c r="I286" s="3"/>
      <c r="J286" s="3"/>
      <c r="K286" s="3"/>
      <c r="L286" s="3"/>
      <c r="M286" s="3"/>
      <c r="N286" s="3"/>
      <c r="O286" s="3"/>
      <c r="P286" s="3"/>
      <c r="Q286" s="3"/>
    </row>
    <row r="287" spans="1:17" ht="60" customHeight="1" x14ac:dyDescent="0.25">
      <c r="A287" s="9">
        <f>IF(F287="","",ROW()-19-COUNTBLANK($F$20:F287))</f>
        <v>238</v>
      </c>
      <c r="B287" s="18"/>
      <c r="C287" s="4" t="s">
        <v>2823</v>
      </c>
      <c r="D287" s="4" t="s">
        <v>2837</v>
      </c>
      <c r="E287" s="7" t="s">
        <v>3442</v>
      </c>
      <c r="F287" s="7" t="s">
        <v>2825</v>
      </c>
      <c r="G287" s="3" t="s">
        <v>50</v>
      </c>
      <c r="H287" s="3"/>
      <c r="I287" s="3"/>
      <c r="J287" s="3"/>
      <c r="K287" s="3"/>
      <c r="L287" s="3"/>
      <c r="M287" s="3"/>
      <c r="N287" s="3"/>
      <c r="O287" s="3"/>
      <c r="P287" s="3"/>
      <c r="Q287" s="3"/>
    </row>
    <row r="288" spans="1:17" ht="60" customHeight="1" x14ac:dyDescent="0.25">
      <c r="A288" s="9">
        <f>IF(F288="","",ROW()-19-COUNTBLANK($F$20:F288))</f>
        <v>239</v>
      </c>
      <c r="B288" s="19"/>
      <c r="C288" s="4" t="s">
        <v>2826</v>
      </c>
      <c r="D288" s="4" t="s">
        <v>2838</v>
      </c>
      <c r="E288" s="7" t="s">
        <v>3442</v>
      </c>
      <c r="F288" s="7" t="s">
        <v>2828</v>
      </c>
      <c r="G288" s="3" t="s">
        <v>55</v>
      </c>
      <c r="H288" s="3"/>
      <c r="I288" s="3"/>
      <c r="J288" s="3"/>
      <c r="K288" s="3"/>
      <c r="L288" s="3"/>
      <c r="M288" s="3"/>
      <c r="N288" s="3"/>
      <c r="O288" s="3"/>
      <c r="P288" s="3"/>
      <c r="Q288" s="3"/>
    </row>
    <row r="289" spans="1:17" ht="20.100000000000001" customHeight="1" x14ac:dyDescent="0.25">
      <c r="A289" s="9" t="str">
        <f>IF(F289="","",ROW()-19-COUNTBLANK($F$20:F289))</f>
        <v/>
      </c>
      <c r="B289" s="12" t="s">
        <v>3443</v>
      </c>
      <c r="C289" s="12"/>
      <c r="D289" s="12"/>
      <c r="E289" s="12"/>
      <c r="F289" s="12"/>
      <c r="G289" s="12"/>
      <c r="H289" s="12"/>
      <c r="I289" s="12"/>
      <c r="J289" s="12"/>
      <c r="K289" s="12"/>
      <c r="L289" s="12"/>
      <c r="M289" s="12"/>
      <c r="N289" s="12"/>
      <c r="O289" s="12"/>
      <c r="P289" s="12"/>
      <c r="Q289" s="12"/>
    </row>
    <row r="290" spans="1:17" ht="60" customHeight="1" x14ac:dyDescent="0.25">
      <c r="A290" s="9">
        <f>IF(F290="","",ROW()-19-COUNTBLANK($F$20:F290))</f>
        <v>240</v>
      </c>
      <c r="B290" s="4" t="s">
        <v>2840</v>
      </c>
      <c r="C290" s="4" t="s">
        <v>2841</v>
      </c>
      <c r="D290" s="4" t="s">
        <v>2842</v>
      </c>
      <c r="E290" s="7" t="s">
        <v>3444</v>
      </c>
      <c r="F290" s="7" t="s">
        <v>3445</v>
      </c>
      <c r="G290" s="3" t="s">
        <v>50</v>
      </c>
      <c r="H290" s="3"/>
      <c r="I290" s="3"/>
      <c r="J290" s="3"/>
      <c r="K290" s="3"/>
      <c r="L290" s="3"/>
      <c r="M290" s="3"/>
      <c r="N290" s="3"/>
      <c r="O290" s="3"/>
      <c r="P290" s="3"/>
      <c r="Q290" s="3"/>
    </row>
    <row r="291" spans="1:17" ht="60" customHeight="1" x14ac:dyDescent="0.25">
      <c r="A291" s="9">
        <f>IF(F291="","",ROW()-19-COUNTBLANK($F$20:F291))</f>
        <v>241</v>
      </c>
      <c r="B291" s="4" t="s">
        <v>2845</v>
      </c>
      <c r="C291" s="4" t="s">
        <v>2846</v>
      </c>
      <c r="D291" s="4"/>
      <c r="E291" s="7" t="s">
        <v>3446</v>
      </c>
      <c r="F291" s="7" t="s">
        <v>2848</v>
      </c>
      <c r="G291" s="3" t="s">
        <v>50</v>
      </c>
      <c r="H291" s="3"/>
      <c r="I291" s="3"/>
      <c r="J291" s="3"/>
      <c r="K291" s="3"/>
      <c r="L291" s="3"/>
      <c r="M291" s="3"/>
      <c r="N291" s="3"/>
      <c r="O291" s="3"/>
      <c r="P291" s="3"/>
      <c r="Q291" s="3"/>
    </row>
    <row r="292" spans="1:17" ht="60" customHeight="1" x14ac:dyDescent="0.25">
      <c r="A292" s="9">
        <f>IF(F292="","",ROW()-19-COUNTBLANK($F$20:F292))</f>
        <v>242</v>
      </c>
      <c r="B292" s="4" t="s">
        <v>2849</v>
      </c>
      <c r="C292" s="4" t="s">
        <v>2850</v>
      </c>
      <c r="D292" s="4"/>
      <c r="E292" s="7" t="s">
        <v>3447</v>
      </c>
      <c r="F292" s="7" t="s">
        <v>2852</v>
      </c>
      <c r="G292" s="3" t="s">
        <v>50</v>
      </c>
      <c r="H292" s="3"/>
      <c r="I292" s="3"/>
      <c r="J292" s="3"/>
      <c r="K292" s="3"/>
      <c r="L292" s="3"/>
      <c r="M292" s="3"/>
      <c r="N292" s="3"/>
      <c r="O292" s="3"/>
      <c r="P292" s="3"/>
      <c r="Q292" s="3"/>
    </row>
    <row r="293" spans="1:17" ht="60" customHeight="1" x14ac:dyDescent="0.25">
      <c r="A293" s="9">
        <f>IF(F293="","",ROW()-19-COUNTBLANK($F$20:F293))</f>
        <v>243</v>
      </c>
      <c r="B293" s="4" t="s">
        <v>2853</v>
      </c>
      <c r="C293" s="4" t="s">
        <v>2854</v>
      </c>
      <c r="D293" s="4"/>
      <c r="E293" s="7" t="s">
        <v>3448</v>
      </c>
      <c r="F293" s="7" t="s">
        <v>2856</v>
      </c>
      <c r="G293" s="3" t="s">
        <v>50</v>
      </c>
      <c r="H293" s="3"/>
      <c r="I293" s="3"/>
      <c r="J293" s="3"/>
      <c r="K293" s="3"/>
      <c r="L293" s="3"/>
      <c r="M293" s="3"/>
      <c r="N293" s="3"/>
      <c r="O293" s="3"/>
      <c r="P293" s="3"/>
      <c r="Q293" s="3"/>
    </row>
    <row r="294" spans="1:17" ht="60" customHeight="1" x14ac:dyDescent="0.25">
      <c r="A294" s="9">
        <f>IF(F294="","",ROW()-19-COUNTBLANK($F$20:F294))</f>
        <v>244</v>
      </c>
      <c r="B294" s="4" t="s">
        <v>2857</v>
      </c>
      <c r="C294" s="4" t="s">
        <v>2858</v>
      </c>
      <c r="D294" s="4"/>
      <c r="E294" s="7" t="s">
        <v>3449</v>
      </c>
      <c r="F294" s="7" t="s">
        <v>2860</v>
      </c>
      <c r="G294" s="3" t="s">
        <v>50</v>
      </c>
      <c r="H294" s="3"/>
      <c r="I294" s="3"/>
      <c r="J294" s="3"/>
      <c r="K294" s="3"/>
      <c r="L294" s="3"/>
      <c r="M294" s="3"/>
      <c r="N294" s="3"/>
      <c r="O294" s="3"/>
      <c r="P294" s="3"/>
      <c r="Q294" s="3"/>
    </row>
    <row r="295" spans="1:17" ht="60" customHeight="1" x14ac:dyDescent="0.25">
      <c r="A295" s="9">
        <f>IF(F295="","",ROW()-19-COUNTBLANK($F$20:F295))</f>
        <v>245</v>
      </c>
      <c r="B295" s="4" t="s">
        <v>2861</v>
      </c>
      <c r="C295" s="4" t="s">
        <v>2862</v>
      </c>
      <c r="D295" s="4" t="s">
        <v>2863</v>
      </c>
      <c r="E295" s="7" t="s">
        <v>3450</v>
      </c>
      <c r="F295" s="7" t="s">
        <v>2865</v>
      </c>
      <c r="G295" s="3" t="s">
        <v>50</v>
      </c>
      <c r="H295" s="3"/>
      <c r="I295" s="3"/>
      <c r="J295" s="3"/>
      <c r="K295" s="3"/>
      <c r="L295" s="3"/>
      <c r="M295" s="3"/>
      <c r="N295" s="3"/>
      <c r="O295" s="3"/>
      <c r="P295" s="3"/>
      <c r="Q295" s="3"/>
    </row>
    <row r="296" spans="1:17" ht="60" customHeight="1" x14ac:dyDescent="0.25">
      <c r="A296" s="9">
        <f>IF(F296="","",ROW()-19-COUNTBLANK($F$20:F296))</f>
        <v>246</v>
      </c>
      <c r="B296" s="4" t="s">
        <v>2866</v>
      </c>
      <c r="C296" s="4" t="s">
        <v>2867</v>
      </c>
      <c r="D296" s="4" t="s">
        <v>2868</v>
      </c>
      <c r="E296" s="7" t="s">
        <v>3450</v>
      </c>
      <c r="F296" s="7" t="s">
        <v>2869</v>
      </c>
      <c r="G296" s="3" t="s">
        <v>55</v>
      </c>
      <c r="H296" s="3"/>
      <c r="I296" s="3"/>
      <c r="J296" s="3"/>
      <c r="K296" s="3"/>
      <c r="L296" s="3"/>
      <c r="M296" s="3"/>
      <c r="N296" s="3"/>
      <c r="O296" s="3"/>
      <c r="P296" s="3"/>
      <c r="Q296" s="3"/>
    </row>
    <row r="297" spans="1:17" ht="60" customHeight="1" x14ac:dyDescent="0.25">
      <c r="A297" s="9">
        <f>IF(F297="","",ROW()-19-COUNTBLANK($F$20:F297))</f>
        <v>247</v>
      </c>
      <c r="B297" s="4" t="s">
        <v>2870</v>
      </c>
      <c r="C297" s="4" t="s">
        <v>2871</v>
      </c>
      <c r="D297" s="4"/>
      <c r="E297" s="7" t="s">
        <v>3450</v>
      </c>
      <c r="F297" s="7" t="s">
        <v>2872</v>
      </c>
      <c r="G297" s="3" t="s">
        <v>50</v>
      </c>
      <c r="H297" s="3"/>
      <c r="I297" s="3"/>
      <c r="J297" s="3"/>
      <c r="K297" s="3"/>
      <c r="L297" s="3"/>
      <c r="M297" s="3"/>
      <c r="N297" s="3"/>
      <c r="O297" s="3"/>
      <c r="P297" s="3"/>
      <c r="Q297" s="3"/>
    </row>
    <row r="298" spans="1:17" ht="60" customHeight="1" x14ac:dyDescent="0.25">
      <c r="A298" s="9">
        <f>IF(F298="","",ROW()-19-COUNTBLANK($F$20:F298))</f>
        <v>248</v>
      </c>
      <c r="B298" s="4" t="s">
        <v>2873</v>
      </c>
      <c r="C298" s="4" t="s">
        <v>2874</v>
      </c>
      <c r="D298" s="4" t="s">
        <v>2875</v>
      </c>
      <c r="E298" s="7" t="s">
        <v>3451</v>
      </c>
      <c r="F298" s="7" t="s">
        <v>2877</v>
      </c>
      <c r="G298" s="3" t="s">
        <v>50</v>
      </c>
      <c r="H298" s="3"/>
      <c r="I298" s="3"/>
      <c r="J298" s="3"/>
      <c r="K298" s="3"/>
      <c r="L298" s="3"/>
      <c r="M298" s="3"/>
      <c r="N298" s="3"/>
      <c r="O298" s="3"/>
      <c r="P298" s="3"/>
      <c r="Q298" s="3"/>
    </row>
    <row r="299" spans="1:17" ht="60" customHeight="1" x14ac:dyDescent="0.25">
      <c r="A299" s="9">
        <f>IF(F299="","",ROW()-19-COUNTBLANK($F$20:F299))</f>
        <v>249</v>
      </c>
      <c r="B299" s="4" t="s">
        <v>2878</v>
      </c>
      <c r="C299" s="4" t="s">
        <v>2879</v>
      </c>
      <c r="D299" s="4" t="s">
        <v>2880</v>
      </c>
      <c r="E299" s="7" t="s">
        <v>3452</v>
      </c>
      <c r="F299" s="7" t="s">
        <v>2882</v>
      </c>
      <c r="G299" s="3" t="s">
        <v>55</v>
      </c>
      <c r="H299" s="3"/>
      <c r="I299" s="3"/>
      <c r="J299" s="3"/>
      <c r="K299" s="3"/>
      <c r="L299" s="3"/>
      <c r="M299" s="3"/>
      <c r="N299" s="3"/>
      <c r="O299" s="3"/>
      <c r="P299" s="3"/>
      <c r="Q299" s="3"/>
    </row>
    <row r="300" spans="1:17" ht="60" customHeight="1" x14ac:dyDescent="0.25">
      <c r="A300" s="9">
        <f>IF(F300="","",ROW()-19-COUNTBLANK($F$20:F300))</f>
        <v>250</v>
      </c>
      <c r="B300" s="4" t="s">
        <v>2883</v>
      </c>
      <c r="C300" s="4" t="s">
        <v>2884</v>
      </c>
      <c r="D300" s="4" t="s">
        <v>2885</v>
      </c>
      <c r="E300" s="7" t="s">
        <v>3453</v>
      </c>
      <c r="F300" s="7" t="s">
        <v>2887</v>
      </c>
      <c r="G300" s="3" t="s">
        <v>55</v>
      </c>
      <c r="H300" s="3"/>
      <c r="I300" s="3"/>
      <c r="J300" s="3"/>
      <c r="K300" s="3"/>
      <c r="L300" s="3"/>
      <c r="M300" s="3"/>
      <c r="N300" s="3"/>
      <c r="O300" s="3"/>
      <c r="P300" s="3"/>
      <c r="Q300" s="3"/>
    </row>
    <row r="301" spans="1:17" ht="20.100000000000001" customHeight="1" x14ac:dyDescent="0.25">
      <c r="A301" s="9" t="str">
        <f>IF(F301="","",ROW()-19-COUNTBLANK($F$20:F301))</f>
        <v/>
      </c>
      <c r="B301" s="12" t="s">
        <v>3454</v>
      </c>
      <c r="C301" s="12"/>
      <c r="D301" s="12"/>
      <c r="E301" s="12"/>
      <c r="F301" s="12"/>
      <c r="G301" s="12"/>
      <c r="H301" s="12"/>
      <c r="I301" s="12"/>
      <c r="J301" s="12"/>
      <c r="K301" s="12"/>
      <c r="L301" s="12"/>
      <c r="M301" s="12"/>
      <c r="N301" s="12"/>
      <c r="O301" s="12"/>
      <c r="P301" s="12"/>
      <c r="Q301" s="12"/>
    </row>
    <row r="302" spans="1:17" ht="60" customHeight="1" x14ac:dyDescent="0.25">
      <c r="A302" s="9">
        <f>IF(F302="","",ROW()-19-COUNTBLANK($F$20:F302))</f>
        <v>251</v>
      </c>
      <c r="B302" s="4" t="s">
        <v>2889</v>
      </c>
      <c r="C302" s="4" t="s">
        <v>2890</v>
      </c>
      <c r="D302" s="4" t="s">
        <v>2891</v>
      </c>
      <c r="E302" s="7" t="s">
        <v>3455</v>
      </c>
      <c r="F302" s="7" t="s">
        <v>3456</v>
      </c>
      <c r="G302" s="3" t="s">
        <v>50</v>
      </c>
      <c r="H302" s="3"/>
      <c r="I302" s="3"/>
      <c r="J302" s="3"/>
      <c r="K302" s="3"/>
      <c r="L302" s="3"/>
      <c r="M302" s="3"/>
      <c r="N302" s="3"/>
      <c r="O302" s="3"/>
      <c r="P302" s="3"/>
      <c r="Q302" s="3"/>
    </row>
    <row r="303" spans="1:17" ht="60" customHeight="1" x14ac:dyDescent="0.25">
      <c r="A303" s="9">
        <f>IF(F303="","",ROW()-19-COUNTBLANK($F$20:F303))</f>
        <v>252</v>
      </c>
      <c r="B303" s="4" t="s">
        <v>2894</v>
      </c>
      <c r="C303" s="4" t="s">
        <v>2895</v>
      </c>
      <c r="D303" s="4"/>
      <c r="E303" s="7" t="s">
        <v>3457</v>
      </c>
      <c r="F303" s="7" t="s">
        <v>2897</v>
      </c>
      <c r="G303" s="3" t="s">
        <v>50</v>
      </c>
      <c r="H303" s="3"/>
      <c r="I303" s="3"/>
      <c r="J303" s="3"/>
      <c r="K303" s="3"/>
      <c r="L303" s="3"/>
      <c r="M303" s="3"/>
      <c r="N303" s="3"/>
      <c r="O303" s="3"/>
      <c r="P303" s="3"/>
      <c r="Q303" s="3"/>
    </row>
    <row r="304" spans="1:17" ht="60" customHeight="1" x14ac:dyDescent="0.25">
      <c r="A304" s="9">
        <f>IF(F304="","",ROW()-19-COUNTBLANK($F$20:F304))</f>
        <v>253</v>
      </c>
      <c r="B304" s="4" t="s">
        <v>2898</v>
      </c>
      <c r="C304" s="4" t="s">
        <v>2899</v>
      </c>
      <c r="D304" s="4"/>
      <c r="E304" s="7" t="s">
        <v>3458</v>
      </c>
      <c r="F304" s="7" t="s">
        <v>2901</v>
      </c>
      <c r="G304" s="3" t="s">
        <v>50</v>
      </c>
      <c r="H304" s="3"/>
      <c r="I304" s="3"/>
      <c r="J304" s="3"/>
      <c r="K304" s="3"/>
      <c r="L304" s="3"/>
      <c r="M304" s="3"/>
      <c r="N304" s="3"/>
      <c r="O304" s="3"/>
      <c r="P304" s="3"/>
      <c r="Q304" s="3"/>
    </row>
    <row r="305" spans="1:17" ht="60" customHeight="1" x14ac:dyDescent="0.25">
      <c r="A305" s="9">
        <f>IF(F305="","",ROW()-19-COUNTBLANK($F$20:F305))</f>
        <v>254</v>
      </c>
      <c r="B305" s="4" t="s">
        <v>2902</v>
      </c>
      <c r="C305" s="4" t="s">
        <v>2903</v>
      </c>
      <c r="D305" s="4" t="s">
        <v>2904</v>
      </c>
      <c r="E305" s="7" t="s">
        <v>3459</v>
      </c>
      <c r="F305" s="7" t="s">
        <v>2906</v>
      </c>
      <c r="G305" s="3" t="s">
        <v>50</v>
      </c>
      <c r="H305" s="3"/>
      <c r="I305" s="3"/>
      <c r="J305" s="3"/>
      <c r="K305" s="3"/>
      <c r="L305" s="3"/>
      <c r="M305" s="3"/>
      <c r="N305" s="3"/>
      <c r="O305" s="3"/>
      <c r="P305" s="3"/>
      <c r="Q305" s="3"/>
    </row>
    <row r="306" spans="1:17" ht="20.100000000000001" customHeight="1" x14ac:dyDescent="0.25">
      <c r="A306" s="9" t="str">
        <f>IF(F306="","",ROW()-19-COUNTBLANK($F$20:F306))</f>
        <v/>
      </c>
      <c r="B306" s="12" t="s">
        <v>3460</v>
      </c>
      <c r="C306" s="12"/>
      <c r="D306" s="12"/>
      <c r="E306" s="12"/>
      <c r="F306" s="12"/>
      <c r="G306" s="12"/>
      <c r="H306" s="12"/>
      <c r="I306" s="12"/>
      <c r="J306" s="12"/>
      <c r="K306" s="12"/>
      <c r="L306" s="12"/>
      <c r="M306" s="12"/>
      <c r="N306" s="12"/>
      <c r="O306" s="12"/>
      <c r="P306" s="12"/>
      <c r="Q306" s="12"/>
    </row>
    <row r="307" spans="1:17" ht="60" customHeight="1" x14ac:dyDescent="0.25">
      <c r="A307" s="9">
        <f>IF(F307="","",ROW()-19-COUNTBLANK($F$20:F307))</f>
        <v>255</v>
      </c>
      <c r="B307" s="4" t="s">
        <v>3461</v>
      </c>
      <c r="C307" s="4" t="s">
        <v>3462</v>
      </c>
      <c r="D307" s="4" t="s">
        <v>3463</v>
      </c>
      <c r="E307" s="7" t="s">
        <v>3464</v>
      </c>
      <c r="F307" s="7" t="s">
        <v>3465</v>
      </c>
      <c r="G307" s="3" t="s">
        <v>50</v>
      </c>
      <c r="H307" s="3"/>
      <c r="I307" s="3"/>
      <c r="J307" s="3"/>
      <c r="K307" s="3"/>
      <c r="L307" s="3"/>
      <c r="M307" s="3"/>
      <c r="N307" s="3"/>
      <c r="O307" s="3"/>
      <c r="P307" s="3"/>
      <c r="Q307" s="3"/>
    </row>
    <row r="308" spans="1:17" ht="60" customHeight="1" x14ac:dyDescent="0.25">
      <c r="A308" s="9">
        <f>IF(F308="","",ROW()-19-COUNTBLANK($F$20:F308))</f>
        <v>256</v>
      </c>
      <c r="B308" s="4" t="s">
        <v>3466</v>
      </c>
      <c r="C308" s="4" t="s">
        <v>3467</v>
      </c>
      <c r="D308" s="4"/>
      <c r="E308" s="7" t="s">
        <v>3468</v>
      </c>
      <c r="F308" s="7" t="s">
        <v>3469</v>
      </c>
      <c r="G308" s="3" t="s">
        <v>55</v>
      </c>
      <c r="H308" s="3"/>
      <c r="I308" s="3"/>
      <c r="J308" s="3"/>
      <c r="K308" s="3"/>
      <c r="L308" s="3"/>
      <c r="M308" s="3"/>
      <c r="N308" s="3"/>
      <c r="O308" s="3"/>
      <c r="P308" s="3"/>
      <c r="Q308" s="3"/>
    </row>
    <row r="309" spans="1:17" ht="60" customHeight="1" x14ac:dyDescent="0.25">
      <c r="A309" s="9">
        <f>IF(F309="","",ROW()-19-COUNTBLANK($F$20:F309))</f>
        <v>257</v>
      </c>
      <c r="B309" s="4" t="s">
        <v>3470</v>
      </c>
      <c r="C309" s="4" t="s">
        <v>3471</v>
      </c>
      <c r="D309" s="4" t="s">
        <v>3472</v>
      </c>
      <c r="E309" s="7" t="s">
        <v>3473</v>
      </c>
      <c r="F309" s="7" t="s">
        <v>3474</v>
      </c>
      <c r="G309" s="3" t="s">
        <v>50</v>
      </c>
      <c r="H309" s="3"/>
      <c r="I309" s="3"/>
      <c r="J309" s="3"/>
      <c r="K309" s="3"/>
      <c r="L309" s="3"/>
      <c r="M309" s="3"/>
      <c r="N309" s="3"/>
      <c r="O309" s="3"/>
      <c r="P309" s="3"/>
      <c r="Q309" s="3"/>
    </row>
    <row r="310" spans="1:17" ht="20.100000000000001" customHeight="1" x14ac:dyDescent="0.25">
      <c r="A310" s="9" t="str">
        <f>IF(F310="","",ROW()-19-COUNTBLANK($F$20:F310))</f>
        <v/>
      </c>
      <c r="B310" s="12" t="s">
        <v>3475</v>
      </c>
      <c r="C310" s="12"/>
      <c r="D310" s="12"/>
      <c r="E310" s="12"/>
      <c r="F310" s="12"/>
      <c r="G310" s="12"/>
      <c r="H310" s="12"/>
      <c r="I310" s="12"/>
      <c r="J310" s="12"/>
      <c r="K310" s="12"/>
      <c r="L310" s="12"/>
      <c r="M310" s="12"/>
      <c r="N310" s="12"/>
      <c r="O310" s="12"/>
      <c r="P310" s="12"/>
      <c r="Q310" s="12"/>
    </row>
    <row r="311" spans="1:17" ht="60" customHeight="1" x14ac:dyDescent="0.25">
      <c r="A311" s="9">
        <f>IF(F311="","",ROW()-19-COUNTBLANK($F$20:F311))</f>
        <v>258</v>
      </c>
      <c r="B311" s="4" t="s">
        <v>2908</v>
      </c>
      <c r="C311" s="4" t="s">
        <v>2909</v>
      </c>
      <c r="D311" s="4"/>
      <c r="E311" s="7" t="s">
        <v>3476</v>
      </c>
      <c r="F311" s="7" t="s">
        <v>2911</v>
      </c>
      <c r="G311" s="3" t="s">
        <v>50</v>
      </c>
      <c r="H311" s="3"/>
      <c r="I311" s="3"/>
      <c r="J311" s="3"/>
      <c r="K311" s="3"/>
      <c r="L311" s="3"/>
      <c r="M311" s="3"/>
      <c r="N311" s="3"/>
      <c r="O311" s="3"/>
      <c r="P311" s="3"/>
      <c r="Q311" s="3"/>
    </row>
    <row r="312" spans="1:17" ht="60" customHeight="1" x14ac:dyDescent="0.25">
      <c r="A312" s="9">
        <f>IF(F312="","",ROW()-19-COUNTBLANK($F$20:F312))</f>
        <v>259</v>
      </c>
      <c r="B312" s="4" t="s">
        <v>2912</v>
      </c>
      <c r="C312" s="4" t="s">
        <v>2913</v>
      </c>
      <c r="D312" s="4"/>
      <c r="E312" s="7" t="s">
        <v>3477</v>
      </c>
      <c r="F312" s="7" t="s">
        <v>2915</v>
      </c>
      <c r="G312" s="3" t="s">
        <v>55</v>
      </c>
      <c r="H312" s="3"/>
      <c r="I312" s="3"/>
      <c r="J312" s="3"/>
      <c r="K312" s="3"/>
      <c r="L312" s="3"/>
      <c r="M312" s="3"/>
      <c r="N312" s="3"/>
      <c r="O312" s="3"/>
      <c r="P312" s="3"/>
      <c r="Q312" s="3"/>
    </row>
    <row r="313" spans="1:17" ht="60" customHeight="1" x14ac:dyDescent="0.25">
      <c r="A313" s="9">
        <f>IF(F313="","",ROW()-19-COUNTBLANK($F$20:F313))</f>
        <v>260</v>
      </c>
      <c r="B313" s="4" t="s">
        <v>2916</v>
      </c>
      <c r="C313" s="4" t="s">
        <v>3478</v>
      </c>
      <c r="D313" s="4"/>
      <c r="E313" s="7" t="s">
        <v>3479</v>
      </c>
      <c r="F313" s="7" t="s">
        <v>3480</v>
      </c>
      <c r="G313" s="3" t="s">
        <v>50</v>
      </c>
      <c r="H313" s="3"/>
      <c r="I313" s="3"/>
      <c r="J313" s="3"/>
      <c r="K313" s="3"/>
      <c r="L313" s="3"/>
      <c r="M313" s="3"/>
      <c r="N313" s="3"/>
      <c r="O313" s="3"/>
      <c r="P313" s="3"/>
      <c r="Q313" s="3"/>
    </row>
    <row r="314" spans="1:17" ht="60" customHeight="1" x14ac:dyDescent="0.25">
      <c r="A314" s="9">
        <f>IF(F314="","",ROW()-19-COUNTBLANK($F$20:F314))</f>
        <v>261</v>
      </c>
      <c r="B314" s="4" t="s">
        <v>2920</v>
      </c>
      <c r="C314" s="4" t="s">
        <v>2921</v>
      </c>
      <c r="D314" s="4" t="s">
        <v>2922</v>
      </c>
      <c r="E314" s="7" t="s">
        <v>3481</v>
      </c>
      <c r="F314" s="7" t="s">
        <v>2924</v>
      </c>
      <c r="G314" s="3" t="s">
        <v>50</v>
      </c>
      <c r="H314" s="3"/>
      <c r="I314" s="3"/>
      <c r="J314" s="3"/>
      <c r="K314" s="3"/>
      <c r="L314" s="3"/>
      <c r="M314" s="3"/>
      <c r="N314" s="3"/>
      <c r="O314" s="3"/>
      <c r="P314" s="3"/>
      <c r="Q314" s="3"/>
    </row>
    <row r="315" spans="1:17" ht="60" customHeight="1" x14ac:dyDescent="0.25">
      <c r="A315" s="9">
        <f>IF(F315="","",ROW()-19-COUNTBLANK($F$20:F315))</f>
        <v>262</v>
      </c>
      <c r="B315" s="4" t="s">
        <v>2925</v>
      </c>
      <c r="C315" s="4" t="s">
        <v>2926</v>
      </c>
      <c r="D315" s="4" t="s">
        <v>2927</v>
      </c>
      <c r="E315" s="7" t="s">
        <v>2928</v>
      </c>
      <c r="F315" s="7" t="s">
        <v>2929</v>
      </c>
      <c r="G315" s="3" t="s">
        <v>50</v>
      </c>
      <c r="H315" s="3"/>
      <c r="I315" s="3"/>
      <c r="J315" s="3"/>
      <c r="K315" s="3"/>
      <c r="L315" s="3"/>
      <c r="M315" s="3"/>
      <c r="N315" s="3"/>
      <c r="O315" s="3"/>
      <c r="P315" s="3"/>
      <c r="Q315" s="3"/>
    </row>
    <row r="316" spans="1:17" ht="60" customHeight="1" x14ac:dyDescent="0.25">
      <c r="A316" s="9">
        <f>IF(F316="","",ROW()-19-COUNTBLANK($F$20:F316))</f>
        <v>263</v>
      </c>
      <c r="B316" s="4" t="s">
        <v>2930</v>
      </c>
      <c r="C316" s="4" t="s">
        <v>2931</v>
      </c>
      <c r="D316" s="4" t="s">
        <v>2932</v>
      </c>
      <c r="E316" s="7" t="s">
        <v>2933</v>
      </c>
      <c r="F316" s="7" t="s">
        <v>2934</v>
      </c>
      <c r="G316" s="3" t="s">
        <v>55</v>
      </c>
      <c r="H316" s="3"/>
      <c r="I316" s="3"/>
      <c r="J316" s="3"/>
      <c r="K316" s="3"/>
      <c r="L316" s="3"/>
      <c r="M316" s="3"/>
      <c r="N316" s="3"/>
      <c r="O316" s="3"/>
      <c r="P316" s="3"/>
      <c r="Q316" s="3"/>
    </row>
    <row r="317" spans="1:17" ht="60" customHeight="1" x14ac:dyDescent="0.25">
      <c r="A317" s="9">
        <f>IF(F317="","",ROW()-19-COUNTBLANK($F$20:F317))</f>
        <v>264</v>
      </c>
      <c r="B317" s="4" t="s">
        <v>2935</v>
      </c>
      <c r="C317" s="4" t="s">
        <v>2936</v>
      </c>
      <c r="D317" s="4" t="s">
        <v>3482</v>
      </c>
      <c r="E317" s="7" t="s">
        <v>3483</v>
      </c>
      <c r="F317" s="7" t="s">
        <v>2939</v>
      </c>
      <c r="G317" s="3" t="s">
        <v>50</v>
      </c>
      <c r="H317" s="3"/>
      <c r="I317" s="3"/>
      <c r="J317" s="3"/>
      <c r="K317" s="3"/>
      <c r="L317" s="3"/>
      <c r="M317" s="3"/>
      <c r="N317" s="3"/>
      <c r="O317" s="3"/>
      <c r="P317" s="3"/>
      <c r="Q317" s="3"/>
    </row>
    <row r="318" spans="1:17" ht="60" customHeight="1" x14ac:dyDescent="0.25">
      <c r="A318" s="9">
        <f>IF(F318="","",ROW()-19-COUNTBLANK($F$20:F318))</f>
        <v>265</v>
      </c>
      <c r="B318" s="4" t="s">
        <v>2940</v>
      </c>
      <c r="C318" s="4" t="s">
        <v>2941</v>
      </c>
      <c r="D318" s="4" t="s">
        <v>2942</v>
      </c>
      <c r="E318" s="7" t="s">
        <v>3484</v>
      </c>
      <c r="F318" s="7" t="s">
        <v>2944</v>
      </c>
      <c r="G318" s="3" t="s">
        <v>50</v>
      </c>
      <c r="H318" s="3"/>
      <c r="I318" s="3"/>
      <c r="J318" s="3"/>
      <c r="K318" s="3"/>
      <c r="L318" s="3"/>
      <c r="M318" s="3"/>
      <c r="N318" s="3"/>
      <c r="O318" s="3"/>
      <c r="P318" s="3"/>
      <c r="Q318" s="3"/>
    </row>
    <row r="319" spans="1:17" ht="60" customHeight="1" x14ac:dyDescent="0.25">
      <c r="A319" s="9">
        <f>IF(F319="","",ROW()-19-COUNTBLANK($F$20:F319))</f>
        <v>266</v>
      </c>
      <c r="B319" s="4" t="s">
        <v>2945</v>
      </c>
      <c r="C319" s="4" t="s">
        <v>2941</v>
      </c>
      <c r="D319" s="4" t="s">
        <v>2942</v>
      </c>
      <c r="E319" s="7" t="s">
        <v>3485</v>
      </c>
      <c r="F319" s="7" t="s">
        <v>2947</v>
      </c>
      <c r="G319" s="3" t="s">
        <v>50</v>
      </c>
      <c r="H319" s="3"/>
      <c r="I319" s="3"/>
      <c r="J319" s="3"/>
      <c r="K319" s="3"/>
      <c r="L319" s="3"/>
      <c r="M319" s="3"/>
      <c r="N319" s="3"/>
      <c r="O319" s="3"/>
      <c r="P319" s="3"/>
      <c r="Q319" s="3"/>
    </row>
    <row r="320" spans="1:17" ht="60" customHeight="1" x14ac:dyDescent="0.25">
      <c r="A320" s="9">
        <f>IF(F320="","",ROW()-19-COUNTBLANK($F$20:F320))</f>
        <v>267</v>
      </c>
      <c r="B320" s="4" t="s">
        <v>2948</v>
      </c>
      <c r="C320" s="4" t="s">
        <v>2949</v>
      </c>
      <c r="D320" s="4" t="s">
        <v>2950</v>
      </c>
      <c r="E320" s="7" t="s">
        <v>3486</v>
      </c>
      <c r="F320" s="7" t="s">
        <v>2952</v>
      </c>
      <c r="G320" s="3" t="s">
        <v>50</v>
      </c>
      <c r="H320" s="3"/>
      <c r="I320" s="3"/>
      <c r="J320" s="3"/>
      <c r="K320" s="3"/>
      <c r="L320" s="3"/>
      <c r="M320" s="3"/>
      <c r="N320" s="3"/>
      <c r="O320" s="3"/>
      <c r="P320" s="3"/>
      <c r="Q320" s="3"/>
    </row>
    <row r="321" spans="1:17" ht="60" customHeight="1" x14ac:dyDescent="0.25">
      <c r="A321" s="9">
        <f>IF(F321="","",ROW()-19-COUNTBLANK($F$20:F321))</f>
        <v>268</v>
      </c>
      <c r="B321" s="4" t="s">
        <v>2953</v>
      </c>
      <c r="C321" s="4" t="s">
        <v>2954</v>
      </c>
      <c r="D321" s="4" t="s">
        <v>2955</v>
      </c>
      <c r="E321" s="7" t="s">
        <v>3487</v>
      </c>
      <c r="F321" s="7" t="s">
        <v>3488</v>
      </c>
      <c r="G321" s="3" t="s">
        <v>50</v>
      </c>
      <c r="H321" s="3"/>
      <c r="I321" s="3"/>
      <c r="J321" s="3"/>
      <c r="K321" s="3"/>
      <c r="L321" s="3"/>
      <c r="M321" s="3"/>
      <c r="N321" s="3"/>
      <c r="O321" s="3"/>
      <c r="P321" s="3"/>
      <c r="Q321" s="3"/>
    </row>
    <row r="322" spans="1:17" ht="60" customHeight="1" x14ac:dyDescent="0.25">
      <c r="A322" s="9">
        <f>IF(F322="","",ROW()-19-COUNTBLANK($F$20:F322))</f>
        <v>269</v>
      </c>
      <c r="B322" s="4" t="s">
        <v>2958</v>
      </c>
      <c r="C322" s="4" t="s">
        <v>2959</v>
      </c>
      <c r="D322" s="4" t="s">
        <v>2960</v>
      </c>
      <c r="E322" s="7" t="s">
        <v>3487</v>
      </c>
      <c r="F322" s="7" t="s">
        <v>3489</v>
      </c>
      <c r="G322" s="3" t="s">
        <v>50</v>
      </c>
      <c r="H322" s="3"/>
      <c r="I322" s="3"/>
      <c r="J322" s="3"/>
      <c r="K322" s="3"/>
      <c r="L322" s="3"/>
      <c r="M322" s="3"/>
      <c r="N322" s="3"/>
      <c r="O322" s="3"/>
      <c r="P322" s="3"/>
      <c r="Q322" s="3"/>
    </row>
    <row r="323" spans="1:17" ht="60" customHeight="1" x14ac:dyDescent="0.25">
      <c r="A323" s="9">
        <f>IF(F323="","",ROW()-19-COUNTBLANK($F$20:F323))</f>
        <v>270</v>
      </c>
      <c r="B323" s="4" t="s">
        <v>2962</v>
      </c>
      <c r="C323" s="4" t="s">
        <v>2963</v>
      </c>
      <c r="D323" s="4" t="s">
        <v>2964</v>
      </c>
      <c r="E323" s="7" t="s">
        <v>3490</v>
      </c>
      <c r="F323" s="7" t="s">
        <v>3491</v>
      </c>
      <c r="G323" s="3" t="s">
        <v>50</v>
      </c>
      <c r="H323" s="3"/>
      <c r="I323" s="3"/>
      <c r="J323" s="3"/>
      <c r="K323" s="3"/>
      <c r="L323" s="3"/>
      <c r="M323" s="3"/>
      <c r="N323" s="3"/>
      <c r="O323" s="3"/>
      <c r="P323" s="3"/>
      <c r="Q323" s="3"/>
    </row>
    <row r="324" spans="1:17" ht="60" customHeight="1" x14ac:dyDescent="0.25">
      <c r="A324" s="9">
        <f>IF(F324="","",ROW()-19-COUNTBLANK($F$20:F324))</f>
        <v>271</v>
      </c>
      <c r="B324" s="4" t="s">
        <v>2967</v>
      </c>
      <c r="C324" s="4" t="s">
        <v>2968</v>
      </c>
      <c r="D324" s="4" t="s">
        <v>2955</v>
      </c>
      <c r="E324" s="7" t="s">
        <v>3492</v>
      </c>
      <c r="F324" s="7" t="s">
        <v>3488</v>
      </c>
      <c r="G324" s="3" t="s">
        <v>50</v>
      </c>
      <c r="H324" s="3"/>
      <c r="I324" s="3"/>
      <c r="J324" s="3"/>
      <c r="K324" s="3"/>
      <c r="L324" s="3"/>
      <c r="M324" s="3"/>
      <c r="N324" s="3"/>
      <c r="O324" s="3"/>
      <c r="P324" s="3"/>
      <c r="Q324" s="3"/>
    </row>
    <row r="325" spans="1:17" ht="60" customHeight="1" x14ac:dyDescent="0.25">
      <c r="A325" s="9">
        <f>IF(F325="","",ROW()-19-COUNTBLANK($F$20:F325))</f>
        <v>272</v>
      </c>
      <c r="B325" s="4" t="s">
        <v>2970</v>
      </c>
      <c r="C325" s="4" t="s">
        <v>2971</v>
      </c>
      <c r="D325" s="4" t="s">
        <v>2960</v>
      </c>
      <c r="E325" s="7" t="s">
        <v>3492</v>
      </c>
      <c r="F325" s="7" t="s">
        <v>3489</v>
      </c>
      <c r="G325" s="3" t="s">
        <v>50</v>
      </c>
      <c r="H325" s="3"/>
      <c r="I325" s="3"/>
      <c r="J325" s="3"/>
      <c r="K325" s="3"/>
      <c r="L325" s="3"/>
      <c r="M325" s="3"/>
      <c r="N325" s="3"/>
      <c r="O325" s="3"/>
      <c r="P325" s="3"/>
      <c r="Q325" s="3"/>
    </row>
    <row r="326" spans="1:17" ht="60" customHeight="1" x14ac:dyDescent="0.25">
      <c r="A326" s="9">
        <f>IF(F326="","",ROW()-19-COUNTBLANK($F$20:F326))</f>
        <v>273</v>
      </c>
      <c r="B326" s="4" t="s">
        <v>2972</v>
      </c>
      <c r="C326" s="4" t="s">
        <v>2973</v>
      </c>
      <c r="D326" s="4" t="s">
        <v>2964</v>
      </c>
      <c r="E326" s="7" t="s">
        <v>3493</v>
      </c>
      <c r="F326" s="7" t="s">
        <v>3491</v>
      </c>
      <c r="G326" s="3" t="s">
        <v>50</v>
      </c>
      <c r="H326" s="3"/>
      <c r="I326" s="3"/>
      <c r="J326" s="3"/>
      <c r="K326" s="3"/>
      <c r="L326" s="3"/>
      <c r="M326" s="3"/>
      <c r="N326" s="3"/>
      <c r="O326" s="3"/>
      <c r="P326" s="3"/>
      <c r="Q326" s="3"/>
    </row>
    <row r="327" spans="1:17" ht="60" customHeight="1" x14ac:dyDescent="0.25">
      <c r="A327" s="9">
        <f>IF(F327="","",ROW()-19-COUNTBLANK($F$20:F327))</f>
        <v>274</v>
      </c>
      <c r="B327" s="4" t="s">
        <v>3494</v>
      </c>
      <c r="C327" s="4" t="s">
        <v>3495</v>
      </c>
      <c r="D327" s="4" t="s">
        <v>3496</v>
      </c>
      <c r="E327" s="7" t="s">
        <v>3497</v>
      </c>
      <c r="F327" s="7" t="s">
        <v>3498</v>
      </c>
      <c r="G327" s="3" t="s">
        <v>50</v>
      </c>
      <c r="H327" s="3"/>
      <c r="I327" s="3"/>
      <c r="J327" s="3"/>
      <c r="K327" s="3"/>
      <c r="L327" s="3"/>
      <c r="M327" s="3"/>
      <c r="N327" s="3"/>
      <c r="O327" s="3"/>
      <c r="P327" s="3"/>
      <c r="Q327" s="3"/>
    </row>
    <row r="328" spans="1:17" ht="60" customHeight="1" x14ac:dyDescent="0.25">
      <c r="A328" s="9">
        <f>IF(F328="","",ROW()-19-COUNTBLANK($F$20:F328))</f>
        <v>275</v>
      </c>
      <c r="B328" s="4" t="s">
        <v>3499</v>
      </c>
      <c r="C328" s="4" t="s">
        <v>3500</v>
      </c>
      <c r="D328" s="4" t="s">
        <v>3501</v>
      </c>
      <c r="E328" s="7" t="s">
        <v>3497</v>
      </c>
      <c r="F328" s="7" t="s">
        <v>3502</v>
      </c>
      <c r="G328" s="3" t="s">
        <v>50</v>
      </c>
      <c r="H328" s="3"/>
      <c r="I328" s="3"/>
      <c r="J328" s="3"/>
      <c r="K328" s="3"/>
      <c r="L328" s="3"/>
      <c r="M328" s="3"/>
      <c r="N328" s="3"/>
      <c r="O328" s="3"/>
      <c r="P328" s="3"/>
      <c r="Q328" s="3"/>
    </row>
    <row r="329" spans="1:17" ht="20.100000000000001" customHeight="1" x14ac:dyDescent="0.25">
      <c r="A329" s="11"/>
      <c r="B329" s="22" t="s">
        <v>3503</v>
      </c>
      <c r="C329" s="23"/>
      <c r="D329" s="23"/>
      <c r="E329" s="23"/>
      <c r="F329" s="24"/>
      <c r="G329" s="11"/>
      <c r="H329" s="11"/>
      <c r="I329" s="11"/>
      <c r="J329" s="11"/>
      <c r="K329" s="11"/>
      <c r="L329" s="11"/>
      <c r="M329" s="11"/>
      <c r="N329" s="11"/>
      <c r="O329" s="11"/>
      <c r="P329" s="11"/>
      <c r="Q329" s="11"/>
    </row>
    <row r="330" spans="1:17" ht="20.100000000000001" customHeight="1" x14ac:dyDescent="0.25">
      <c r="A330" s="9" t="str">
        <f>IF(F330="","",ROW()-19-COUNTBLANK($F$20:F330))</f>
        <v/>
      </c>
      <c r="B330" s="12" t="s">
        <v>3504</v>
      </c>
      <c r="C330" s="12"/>
      <c r="D330" s="12"/>
      <c r="E330" s="12"/>
      <c r="F330" s="12"/>
      <c r="G330" s="12"/>
      <c r="H330" s="12"/>
      <c r="I330" s="12"/>
      <c r="J330" s="12"/>
      <c r="K330" s="12"/>
      <c r="L330" s="12"/>
      <c r="M330" s="12"/>
      <c r="N330" s="12"/>
      <c r="O330" s="12"/>
      <c r="P330" s="12"/>
      <c r="Q330" s="12"/>
    </row>
    <row r="331" spans="1:17" ht="60" customHeight="1" x14ac:dyDescent="0.25">
      <c r="A331" s="9">
        <f>IF(F331="","",ROW()-19-COUNTBLANK($F$20:F331))</f>
        <v>276</v>
      </c>
      <c r="B331" s="4" t="s">
        <v>3505</v>
      </c>
      <c r="C331" s="4" t="s">
        <v>3506</v>
      </c>
      <c r="D331" s="4" t="s">
        <v>3507</v>
      </c>
      <c r="E331" s="7" t="s">
        <v>3508</v>
      </c>
      <c r="F331" s="7" t="s">
        <v>3509</v>
      </c>
      <c r="G331" s="3" t="s">
        <v>50</v>
      </c>
      <c r="H331" s="3"/>
      <c r="I331" s="3"/>
      <c r="J331" s="3"/>
      <c r="K331" s="3"/>
      <c r="L331" s="3"/>
      <c r="M331" s="3"/>
      <c r="N331" s="3"/>
      <c r="O331" s="3"/>
      <c r="P331" s="3"/>
      <c r="Q331" s="3"/>
    </row>
    <row r="332" spans="1:17" ht="60" customHeight="1" x14ac:dyDescent="0.25">
      <c r="A332" s="9">
        <f>IF(F332="","",ROW()-19-COUNTBLANK($F$20:F332))</f>
        <v>277</v>
      </c>
      <c r="B332" s="4" t="s">
        <v>3510</v>
      </c>
      <c r="C332" s="4" t="s">
        <v>3511</v>
      </c>
      <c r="D332" s="4"/>
      <c r="E332" s="7" t="s">
        <v>3512</v>
      </c>
      <c r="F332" s="7" t="s">
        <v>3513</v>
      </c>
      <c r="G332" s="3" t="s">
        <v>50</v>
      </c>
      <c r="H332" s="3"/>
      <c r="I332" s="3"/>
      <c r="J332" s="3"/>
      <c r="K332" s="3"/>
      <c r="L332" s="3"/>
      <c r="M332" s="3"/>
      <c r="N332" s="3"/>
      <c r="O332" s="3"/>
      <c r="P332" s="3"/>
      <c r="Q332" s="3"/>
    </row>
    <row r="333" spans="1:17" ht="60" customHeight="1" x14ac:dyDescent="0.25">
      <c r="A333" s="9">
        <f>IF(F333="","",ROW()-19-COUNTBLANK($F$20:F333))</f>
        <v>278</v>
      </c>
      <c r="B333" s="4" t="s">
        <v>3514</v>
      </c>
      <c r="C333" s="4" t="s">
        <v>3515</v>
      </c>
      <c r="D333" s="4" t="s">
        <v>3516</v>
      </c>
      <c r="E333" s="7" t="s">
        <v>3517</v>
      </c>
      <c r="F333" s="7" t="s">
        <v>3518</v>
      </c>
      <c r="G333" s="3" t="s">
        <v>50</v>
      </c>
      <c r="H333" s="3"/>
      <c r="I333" s="3"/>
      <c r="J333" s="3"/>
      <c r="K333" s="3"/>
      <c r="L333" s="3"/>
      <c r="M333" s="3"/>
      <c r="N333" s="3"/>
      <c r="O333" s="3"/>
      <c r="P333" s="3"/>
      <c r="Q333" s="3"/>
    </row>
    <row r="334" spans="1:17" ht="60" customHeight="1" x14ac:dyDescent="0.25">
      <c r="A334" s="9">
        <f>IF(F334="","",ROW()-19-COUNTBLANK($F$20:F334))</f>
        <v>279</v>
      </c>
      <c r="B334" s="4" t="s">
        <v>3519</v>
      </c>
      <c r="C334" s="4" t="s">
        <v>3520</v>
      </c>
      <c r="D334" s="4" t="s">
        <v>3521</v>
      </c>
      <c r="E334" s="7" t="s">
        <v>3522</v>
      </c>
      <c r="F334" s="7" t="s">
        <v>3523</v>
      </c>
      <c r="G334" s="3" t="s">
        <v>55</v>
      </c>
      <c r="H334" s="3"/>
      <c r="I334" s="3"/>
      <c r="J334" s="3"/>
      <c r="K334" s="3"/>
      <c r="L334" s="3"/>
      <c r="M334" s="3"/>
      <c r="N334" s="3"/>
      <c r="O334" s="3"/>
      <c r="P334" s="3"/>
      <c r="Q334" s="3"/>
    </row>
    <row r="335" spans="1:17" ht="60" customHeight="1" x14ac:dyDescent="0.25">
      <c r="A335" s="9">
        <f>IF(F335="","",ROW()-19-COUNTBLANK($F$20:F335))</f>
        <v>280</v>
      </c>
      <c r="B335" s="4" t="s">
        <v>3524</v>
      </c>
      <c r="C335" s="4" t="s">
        <v>3525</v>
      </c>
      <c r="D335" s="4"/>
      <c r="E335" s="7" t="s">
        <v>3508</v>
      </c>
      <c r="F335" s="7" t="s">
        <v>3526</v>
      </c>
      <c r="G335" s="3" t="s">
        <v>55</v>
      </c>
      <c r="H335" s="3"/>
      <c r="I335" s="3"/>
      <c r="J335" s="3"/>
      <c r="K335" s="3"/>
      <c r="L335" s="3"/>
      <c r="M335" s="3"/>
      <c r="N335" s="3"/>
      <c r="O335" s="3"/>
      <c r="P335" s="3"/>
      <c r="Q335" s="3"/>
    </row>
    <row r="336" spans="1:17" ht="60" customHeight="1" x14ac:dyDescent="0.25">
      <c r="A336" s="9">
        <f>IF(F336="","",ROW()-19-COUNTBLANK($F$20:F336))</f>
        <v>281</v>
      </c>
      <c r="B336" s="4" t="s">
        <v>3527</v>
      </c>
      <c r="C336" s="4" t="s">
        <v>2841</v>
      </c>
      <c r="D336" s="4" t="s">
        <v>3528</v>
      </c>
      <c r="E336" s="7" t="s">
        <v>3529</v>
      </c>
      <c r="F336" s="7" t="s">
        <v>3530</v>
      </c>
      <c r="G336" s="3" t="s">
        <v>50</v>
      </c>
      <c r="H336" s="3"/>
      <c r="I336" s="3"/>
      <c r="J336" s="3"/>
      <c r="K336" s="3"/>
      <c r="L336" s="3"/>
      <c r="M336" s="3"/>
      <c r="N336" s="3"/>
      <c r="O336" s="3"/>
      <c r="P336" s="3"/>
      <c r="Q336" s="3"/>
    </row>
    <row r="337" spans="1:17" ht="60" customHeight="1" x14ac:dyDescent="0.25">
      <c r="A337" s="9">
        <f>IF(F337="","",ROW()-19-COUNTBLANK($F$20:F337))</f>
        <v>282</v>
      </c>
      <c r="B337" s="4" t="s">
        <v>3531</v>
      </c>
      <c r="C337" s="4" t="s">
        <v>2890</v>
      </c>
      <c r="D337" s="4" t="s">
        <v>3532</v>
      </c>
      <c r="E337" s="7" t="s">
        <v>3533</v>
      </c>
      <c r="F337" s="7" t="s">
        <v>3534</v>
      </c>
      <c r="G337" s="3" t="s">
        <v>50</v>
      </c>
      <c r="H337" s="3"/>
      <c r="I337" s="3"/>
      <c r="J337" s="3"/>
      <c r="K337" s="3"/>
      <c r="L337" s="3"/>
      <c r="M337" s="3"/>
      <c r="N337" s="3"/>
      <c r="O337" s="3"/>
      <c r="P337" s="3"/>
      <c r="Q337" s="3"/>
    </row>
    <row r="338" spans="1:17" ht="60" customHeight="1" x14ac:dyDescent="0.25">
      <c r="A338" s="9">
        <f>IF(F338="","",ROW()-19-COUNTBLANK($F$20:F338))</f>
        <v>283</v>
      </c>
      <c r="B338" s="4" t="s">
        <v>3535</v>
      </c>
      <c r="C338" s="4" t="s">
        <v>3536</v>
      </c>
      <c r="D338" s="4" t="s">
        <v>3537</v>
      </c>
      <c r="E338" s="7" t="s">
        <v>3508</v>
      </c>
      <c r="F338" s="7" t="s">
        <v>3538</v>
      </c>
      <c r="G338" s="3" t="s">
        <v>55</v>
      </c>
      <c r="H338" s="3"/>
      <c r="I338" s="3"/>
      <c r="J338" s="3"/>
      <c r="K338" s="3"/>
      <c r="L338" s="3"/>
      <c r="M338" s="3"/>
      <c r="N338" s="3"/>
      <c r="O338" s="3"/>
      <c r="P338" s="3"/>
      <c r="Q338" s="3"/>
    </row>
    <row r="339" spans="1:17" ht="60" customHeight="1" x14ac:dyDescent="0.25">
      <c r="A339" s="9">
        <f>IF(F339="","",ROW()-19-COUNTBLANK($F$20:F339))</f>
        <v>284</v>
      </c>
      <c r="B339" s="4" t="s">
        <v>3539</v>
      </c>
      <c r="C339" s="4" t="s">
        <v>3540</v>
      </c>
      <c r="D339" s="4" t="s">
        <v>3541</v>
      </c>
      <c r="E339" s="7" t="s">
        <v>3542</v>
      </c>
      <c r="F339" s="7" t="s">
        <v>3543</v>
      </c>
      <c r="G339" s="3" t="s">
        <v>50</v>
      </c>
      <c r="H339" s="3"/>
      <c r="I339" s="3"/>
      <c r="J339" s="3"/>
      <c r="K339" s="3"/>
      <c r="L339" s="3"/>
      <c r="M339" s="3"/>
      <c r="N339" s="3"/>
      <c r="O339" s="3"/>
      <c r="P339" s="3"/>
      <c r="Q339" s="3"/>
    </row>
  </sheetData>
  <mergeCells count="48">
    <mergeCell ref="B329:F329"/>
    <mergeCell ref="B269:B272"/>
    <mergeCell ref="C86:C87"/>
    <mergeCell ref="C159:C162"/>
    <mergeCell ref="I15:N15"/>
    <mergeCell ref="C224:C229"/>
    <mergeCell ref="B281:B284"/>
    <mergeCell ref="B139:B155"/>
    <mergeCell ref="C220:C223"/>
    <mergeCell ref="B257:B262"/>
    <mergeCell ref="B217:B233"/>
    <mergeCell ref="C139:C141"/>
    <mergeCell ref="E15:E17"/>
    <mergeCell ref="G15:G17"/>
    <mergeCell ref="I16:N16"/>
    <mergeCell ref="B285:B288"/>
    <mergeCell ref="B200:B216"/>
    <mergeCell ref="B19:F19"/>
    <mergeCell ref="O15:O17"/>
    <mergeCell ref="C169:C172"/>
    <mergeCell ref="C200:C202"/>
    <mergeCell ref="F15:F17"/>
    <mergeCell ref="C156:C158"/>
    <mergeCell ref="B273:B275"/>
    <mergeCell ref="C207:C212"/>
    <mergeCell ref="A15:A17"/>
    <mergeCell ref="B1:F1"/>
    <mergeCell ref="C142:C145"/>
    <mergeCell ref="B277:B280"/>
    <mergeCell ref="C213:C216"/>
    <mergeCell ref="C203:C206"/>
    <mergeCell ref="C15:C17"/>
    <mergeCell ref="C163:C168"/>
    <mergeCell ref="C217:C219"/>
    <mergeCell ref="B83:B85"/>
    <mergeCell ref="B248:F248"/>
    <mergeCell ref="C146:C151"/>
    <mergeCell ref="C152:C155"/>
    <mergeCell ref="C230:C233"/>
    <mergeCell ref="D15:D17"/>
    <mergeCell ref="Q15:Q17"/>
    <mergeCell ref="B15:B17"/>
    <mergeCell ref="B86:B89"/>
    <mergeCell ref="B156:B172"/>
    <mergeCell ref="B80:B82"/>
    <mergeCell ref="B18:F18"/>
    <mergeCell ref="H15:H17"/>
    <mergeCell ref="P15:P17"/>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58"/>
  <sheetViews>
    <sheetView workbookViewId="0"/>
  </sheetViews>
  <sheetFormatPr defaultRowHeight="15" x14ac:dyDescent="0.25"/>
  <cols>
    <col min="1" max="1" width="13" customWidth="1"/>
    <col min="2" max="2" width="33.5703125" customWidth="1"/>
    <col min="3" max="4" width="28" customWidth="1"/>
    <col min="5" max="5" width="44.28515625" customWidth="1"/>
    <col min="6" max="6" width="59.7109375" customWidth="1"/>
    <col min="7" max="7" width="12.5703125" customWidth="1"/>
    <col min="8" max="17" width="13" customWidth="1"/>
  </cols>
  <sheetData>
    <row r="1" spans="1:17" x14ac:dyDescent="0.25">
      <c r="B1" s="25" t="s">
        <v>20</v>
      </c>
      <c r="C1" s="14"/>
      <c r="D1" s="14"/>
      <c r="E1" s="14"/>
      <c r="F1" s="14"/>
    </row>
    <row r="3" spans="1:17" ht="47.25" x14ac:dyDescent="0.25">
      <c r="B3" s="6" t="s">
        <v>21</v>
      </c>
      <c r="C3" s="7" t="s">
        <v>18</v>
      </c>
      <c r="E3" s="6" t="s">
        <v>22</v>
      </c>
      <c r="F3" s="8"/>
    </row>
    <row r="4" spans="1:17" ht="15.75" x14ac:dyDescent="0.25">
      <c r="B4" s="6" t="s">
        <v>23</v>
      </c>
      <c r="C4" s="7" t="s">
        <v>24</v>
      </c>
      <c r="E4" s="6" t="s">
        <v>25</v>
      </c>
    </row>
    <row r="6" spans="1:17" ht="15.75" x14ac:dyDescent="0.25">
      <c r="B6" s="6" t="s">
        <v>3</v>
      </c>
    </row>
    <row r="7" spans="1:17" ht="15.75" x14ac:dyDescent="0.25">
      <c r="B7" s="6" t="s">
        <v>4</v>
      </c>
      <c r="C7" s="9">
        <f>COUNTIF($O$20:$O$58,"P")</f>
        <v>0</v>
      </c>
    </row>
    <row r="8" spans="1:17" ht="31.5" x14ac:dyDescent="0.25">
      <c r="B8" s="6" t="s">
        <v>5</v>
      </c>
      <c r="C8" s="9">
        <f>COUNTIF($O$20:$O$58,"F")</f>
        <v>0</v>
      </c>
    </row>
    <row r="9" spans="1:17" ht="31.5" x14ac:dyDescent="0.25">
      <c r="B9" s="6" t="s">
        <v>6</v>
      </c>
      <c r="C9" s="9">
        <f>COUNTIF($O$20:$O$58,"PE")</f>
        <v>0</v>
      </c>
    </row>
    <row r="10" spans="1:17" ht="31.5" x14ac:dyDescent="0.25">
      <c r="B10" s="6" t="s">
        <v>7</v>
      </c>
      <c r="C10" s="9">
        <f>C11-C7-C8-C9</f>
        <v>33</v>
      </c>
    </row>
    <row r="11" spans="1:17" ht="15.75" x14ac:dyDescent="0.25">
      <c r="B11" s="6" t="s">
        <v>8</v>
      </c>
      <c r="C11" s="9">
        <f>COUNTA($F$20:$F$58)</f>
        <v>33</v>
      </c>
    </row>
    <row r="15" spans="1:17" x14ac:dyDescent="0.25">
      <c r="A15" s="20" t="s">
        <v>26</v>
      </c>
      <c r="B15" s="20" t="s">
        <v>27</v>
      </c>
      <c r="C15" s="20" t="s">
        <v>28</v>
      </c>
      <c r="D15" s="20" t="s">
        <v>29</v>
      </c>
      <c r="E15" s="20" t="s">
        <v>30</v>
      </c>
      <c r="F15" s="20" t="s">
        <v>31</v>
      </c>
      <c r="G15" s="20" t="s">
        <v>32</v>
      </c>
      <c r="H15" s="20" t="s">
        <v>33</v>
      </c>
      <c r="I15" s="20" t="s">
        <v>34</v>
      </c>
      <c r="J15" s="14"/>
      <c r="K15" s="14"/>
      <c r="L15" s="14"/>
      <c r="M15" s="14"/>
      <c r="N15" s="14"/>
      <c r="O15" s="20" t="s">
        <v>35</v>
      </c>
      <c r="P15" s="20" t="s">
        <v>36</v>
      </c>
      <c r="Q15" s="20" t="s">
        <v>37</v>
      </c>
    </row>
    <row r="16" spans="1:17" x14ac:dyDescent="0.25">
      <c r="A16" s="14"/>
      <c r="B16" s="14"/>
      <c r="C16" s="14"/>
      <c r="D16" s="14"/>
      <c r="E16" s="14"/>
      <c r="F16" s="14"/>
      <c r="G16" s="14"/>
      <c r="H16" s="14"/>
      <c r="I16" s="20" t="s">
        <v>38</v>
      </c>
      <c r="J16" s="14"/>
      <c r="K16" s="14"/>
      <c r="L16" s="14"/>
      <c r="M16" s="14"/>
      <c r="N16" s="14"/>
      <c r="O16" s="14"/>
      <c r="P16" s="14"/>
      <c r="Q16" s="14"/>
    </row>
    <row r="17" spans="1:17" ht="31.5" x14ac:dyDescent="0.25">
      <c r="A17" s="14"/>
      <c r="B17" s="14"/>
      <c r="C17" s="14"/>
      <c r="D17" s="14"/>
      <c r="E17" s="14"/>
      <c r="F17" s="14"/>
      <c r="G17" s="14"/>
      <c r="H17" s="14"/>
      <c r="I17" s="10" t="s">
        <v>39</v>
      </c>
      <c r="J17" s="10" t="s">
        <v>40</v>
      </c>
      <c r="K17" s="10" t="s">
        <v>41</v>
      </c>
      <c r="L17" s="10" t="s">
        <v>40</v>
      </c>
      <c r="M17" s="10" t="s">
        <v>42</v>
      </c>
      <c r="N17" s="10" t="s">
        <v>40</v>
      </c>
      <c r="O17" s="14"/>
      <c r="P17" s="14"/>
      <c r="Q17" s="14"/>
    </row>
    <row r="18" spans="1:17" ht="80.099999999999994" customHeight="1" x14ac:dyDescent="0.25">
      <c r="B18" s="21" t="s">
        <v>3544</v>
      </c>
      <c r="C18" s="14"/>
      <c r="D18" s="14"/>
      <c r="E18" s="14"/>
      <c r="F18" s="14"/>
    </row>
    <row r="19" spans="1:17" ht="20.100000000000001" customHeight="1" x14ac:dyDescent="0.25">
      <c r="A19" s="11"/>
      <c r="B19" s="22" t="s">
        <v>1247</v>
      </c>
      <c r="C19" s="23"/>
      <c r="D19" s="23"/>
      <c r="E19" s="23"/>
      <c r="F19" s="24"/>
      <c r="G19" s="11"/>
      <c r="H19" s="11"/>
      <c r="I19" s="11"/>
      <c r="J19" s="11"/>
      <c r="K19" s="11"/>
      <c r="L19" s="11"/>
      <c r="M19" s="11"/>
      <c r="N19" s="11"/>
      <c r="O19" s="11"/>
      <c r="P19" s="11"/>
      <c r="Q19" s="11"/>
    </row>
    <row r="20" spans="1:17" ht="20.100000000000001" customHeight="1" x14ac:dyDescent="0.25">
      <c r="A20" s="9" t="str">
        <f>IF(F20="","",ROW()-19-COUNTBLANK($F$20:F20))</f>
        <v/>
      </c>
      <c r="B20" s="12" t="s">
        <v>3545</v>
      </c>
      <c r="C20" s="12"/>
      <c r="D20" s="12"/>
      <c r="E20" s="12"/>
      <c r="F20" s="12"/>
      <c r="G20" s="12"/>
      <c r="H20" s="12"/>
      <c r="I20" s="12"/>
      <c r="J20" s="12"/>
      <c r="K20" s="12"/>
      <c r="L20" s="12"/>
      <c r="M20" s="12"/>
      <c r="N20" s="12"/>
      <c r="O20" s="12"/>
      <c r="P20" s="12"/>
      <c r="Q20" s="12"/>
    </row>
    <row r="21" spans="1:17" ht="60" customHeight="1" x14ac:dyDescent="0.25">
      <c r="A21" s="9">
        <f>IF(F21="","",ROW()-19-COUNTBLANK($F$20:F21))</f>
        <v>1</v>
      </c>
      <c r="B21" s="4" t="s">
        <v>3546</v>
      </c>
      <c r="C21" s="4" t="s">
        <v>3547</v>
      </c>
      <c r="D21" s="4" t="s">
        <v>3548</v>
      </c>
      <c r="E21" s="7" t="s">
        <v>3549</v>
      </c>
      <c r="F21" s="7" t="s">
        <v>3550</v>
      </c>
      <c r="G21" s="3" t="s">
        <v>50</v>
      </c>
      <c r="H21" s="3"/>
      <c r="I21" s="3"/>
      <c r="J21" s="3"/>
      <c r="K21" s="3"/>
      <c r="L21" s="3"/>
      <c r="M21" s="3"/>
      <c r="N21" s="3"/>
      <c r="O21" s="3"/>
      <c r="P21" s="3"/>
      <c r="Q21" s="3"/>
    </row>
    <row r="22" spans="1:17" ht="60" customHeight="1" x14ac:dyDescent="0.25">
      <c r="A22" s="9">
        <f>IF(F22="","",ROW()-19-COUNTBLANK($F$20:F22))</f>
        <v>2</v>
      </c>
      <c r="B22" s="4" t="s">
        <v>3551</v>
      </c>
      <c r="C22" s="4" t="s">
        <v>3552</v>
      </c>
      <c r="D22" s="4" t="s">
        <v>3553</v>
      </c>
      <c r="E22" s="7" t="s">
        <v>3549</v>
      </c>
      <c r="F22" s="7" t="s">
        <v>3554</v>
      </c>
      <c r="G22" s="3" t="s">
        <v>50</v>
      </c>
      <c r="H22" s="3"/>
      <c r="I22" s="3"/>
      <c r="J22" s="3"/>
      <c r="K22" s="3"/>
      <c r="L22" s="3"/>
      <c r="M22" s="3"/>
      <c r="N22" s="3"/>
      <c r="O22" s="3"/>
      <c r="P22" s="3"/>
      <c r="Q22" s="3"/>
    </row>
    <row r="23" spans="1:17" ht="60" customHeight="1" x14ac:dyDescent="0.25">
      <c r="A23" s="9">
        <f>IF(F23="","",ROW()-19-COUNTBLANK($F$20:F23))</f>
        <v>3</v>
      </c>
      <c r="B23" s="4" t="s">
        <v>3555</v>
      </c>
      <c r="C23" s="4" t="s">
        <v>3556</v>
      </c>
      <c r="D23" s="4" t="s">
        <v>3557</v>
      </c>
      <c r="E23" s="7" t="s">
        <v>3549</v>
      </c>
      <c r="F23" s="7" t="s">
        <v>3558</v>
      </c>
      <c r="G23" s="3" t="s">
        <v>50</v>
      </c>
      <c r="H23" s="3"/>
      <c r="I23" s="3"/>
      <c r="J23" s="3"/>
      <c r="K23" s="3"/>
      <c r="L23" s="3"/>
      <c r="M23" s="3"/>
      <c r="N23" s="3"/>
      <c r="O23" s="3"/>
      <c r="P23" s="3"/>
      <c r="Q23" s="3"/>
    </row>
    <row r="24" spans="1:17" ht="60" customHeight="1" x14ac:dyDescent="0.25">
      <c r="A24" s="9">
        <f>IF(F24="","",ROW()-19-COUNTBLANK($F$20:F24))</f>
        <v>4</v>
      </c>
      <c r="B24" s="4" t="s">
        <v>3559</v>
      </c>
      <c r="C24" s="4" t="s">
        <v>3560</v>
      </c>
      <c r="D24" s="4" t="s">
        <v>3561</v>
      </c>
      <c r="E24" s="7" t="s">
        <v>3549</v>
      </c>
      <c r="F24" s="7" t="s">
        <v>3562</v>
      </c>
      <c r="G24" s="3" t="s">
        <v>50</v>
      </c>
      <c r="H24" s="3"/>
      <c r="I24" s="3"/>
      <c r="J24" s="3"/>
      <c r="K24" s="3"/>
      <c r="L24" s="3"/>
      <c r="M24" s="3"/>
      <c r="N24" s="3"/>
      <c r="O24" s="3"/>
      <c r="P24" s="3"/>
      <c r="Q24" s="3"/>
    </row>
    <row r="25" spans="1:17" ht="60" customHeight="1" x14ac:dyDescent="0.25">
      <c r="A25" s="9">
        <f>IF(F25="","",ROW()-19-COUNTBLANK($F$20:F25))</f>
        <v>5</v>
      </c>
      <c r="B25" s="4" t="s">
        <v>3563</v>
      </c>
      <c r="C25" s="4" t="s">
        <v>3564</v>
      </c>
      <c r="D25" s="4" t="s">
        <v>3565</v>
      </c>
      <c r="E25" s="7" t="s">
        <v>3549</v>
      </c>
      <c r="F25" s="7" t="s">
        <v>3566</v>
      </c>
      <c r="G25" s="3" t="s">
        <v>50</v>
      </c>
      <c r="H25" s="3"/>
      <c r="I25" s="3"/>
      <c r="J25" s="3"/>
      <c r="K25" s="3"/>
      <c r="L25" s="3"/>
      <c r="M25" s="3"/>
      <c r="N25" s="3"/>
      <c r="O25" s="3"/>
      <c r="P25" s="3"/>
      <c r="Q25" s="3"/>
    </row>
    <row r="26" spans="1:17" ht="60" customHeight="1" x14ac:dyDescent="0.25">
      <c r="A26" s="9">
        <f>IF(F26="","",ROW()-19-COUNTBLANK($F$20:F26))</f>
        <v>6</v>
      </c>
      <c r="B26" s="4" t="s">
        <v>3567</v>
      </c>
      <c r="C26" s="4" t="s">
        <v>3568</v>
      </c>
      <c r="D26" s="4" t="s">
        <v>3569</v>
      </c>
      <c r="E26" s="7" t="s">
        <v>3570</v>
      </c>
      <c r="F26" s="7" t="s">
        <v>3571</v>
      </c>
      <c r="G26" s="3" t="s">
        <v>50</v>
      </c>
      <c r="H26" s="3"/>
      <c r="I26" s="3"/>
      <c r="J26" s="3"/>
      <c r="K26" s="3"/>
      <c r="L26" s="3"/>
      <c r="M26" s="3"/>
      <c r="N26" s="3"/>
      <c r="O26" s="3"/>
      <c r="P26" s="3"/>
      <c r="Q26" s="3"/>
    </row>
    <row r="27" spans="1:17" ht="60" customHeight="1" x14ac:dyDescent="0.25">
      <c r="A27" s="9">
        <f>IF(F27="","",ROW()-19-COUNTBLANK($F$20:F27))</f>
        <v>7</v>
      </c>
      <c r="B27" s="4" t="s">
        <v>3572</v>
      </c>
      <c r="C27" s="4" t="s">
        <v>3573</v>
      </c>
      <c r="D27" s="4" t="s">
        <v>3574</v>
      </c>
      <c r="E27" s="7" t="s">
        <v>3549</v>
      </c>
      <c r="F27" s="7" t="s">
        <v>3575</v>
      </c>
      <c r="G27" s="3" t="s">
        <v>55</v>
      </c>
      <c r="H27" s="3"/>
      <c r="I27" s="3"/>
      <c r="J27" s="3"/>
      <c r="K27" s="3"/>
      <c r="L27" s="3"/>
      <c r="M27" s="3"/>
      <c r="N27" s="3"/>
      <c r="O27" s="3"/>
      <c r="P27" s="3"/>
      <c r="Q27" s="3"/>
    </row>
    <row r="28" spans="1:17" ht="60" customHeight="1" x14ac:dyDescent="0.25">
      <c r="A28" s="9">
        <f>IF(F28="","",ROW()-19-COUNTBLANK($F$20:F28))</f>
        <v>8</v>
      </c>
      <c r="B28" s="4" t="s">
        <v>3576</v>
      </c>
      <c r="C28" s="4" t="s">
        <v>3577</v>
      </c>
      <c r="D28" s="4" t="s">
        <v>3578</v>
      </c>
      <c r="E28" s="7" t="s">
        <v>3549</v>
      </c>
      <c r="F28" s="7" t="s">
        <v>3579</v>
      </c>
      <c r="G28" s="3" t="s">
        <v>55</v>
      </c>
      <c r="H28" s="3"/>
      <c r="I28" s="3"/>
      <c r="J28" s="3"/>
      <c r="K28" s="3"/>
      <c r="L28" s="3"/>
      <c r="M28" s="3"/>
      <c r="N28" s="3"/>
      <c r="O28" s="3"/>
      <c r="P28" s="3"/>
      <c r="Q28" s="3"/>
    </row>
    <row r="29" spans="1:17" ht="60" customHeight="1" x14ac:dyDescent="0.25">
      <c r="A29" s="9">
        <f>IF(F29="","",ROW()-19-COUNTBLANK($F$20:F29))</f>
        <v>9</v>
      </c>
      <c r="B29" s="4" t="s">
        <v>3580</v>
      </c>
      <c r="C29" s="4" t="s">
        <v>3581</v>
      </c>
      <c r="D29" s="4" t="s">
        <v>3582</v>
      </c>
      <c r="E29" s="7" t="s">
        <v>3549</v>
      </c>
      <c r="F29" s="7" t="s">
        <v>3583</v>
      </c>
      <c r="G29" s="3" t="s">
        <v>50</v>
      </c>
      <c r="H29" s="3"/>
      <c r="I29" s="3"/>
      <c r="J29" s="3"/>
      <c r="K29" s="3"/>
      <c r="L29" s="3"/>
      <c r="M29" s="3"/>
      <c r="N29" s="3"/>
      <c r="O29" s="3"/>
      <c r="P29" s="3"/>
      <c r="Q29" s="3"/>
    </row>
    <row r="30" spans="1:17" ht="60" customHeight="1" x14ac:dyDescent="0.25">
      <c r="A30" s="9">
        <f>IF(F30="","",ROW()-19-COUNTBLANK($F$20:F30))</f>
        <v>10</v>
      </c>
      <c r="B30" s="4" t="s">
        <v>3584</v>
      </c>
      <c r="C30" s="4" t="s">
        <v>3585</v>
      </c>
      <c r="D30" s="4" t="s">
        <v>3586</v>
      </c>
      <c r="E30" s="7" t="s">
        <v>3587</v>
      </c>
      <c r="F30" s="7" t="s">
        <v>3588</v>
      </c>
      <c r="G30" s="3" t="s">
        <v>50</v>
      </c>
      <c r="H30" s="3"/>
      <c r="I30" s="3"/>
      <c r="J30" s="3"/>
      <c r="K30" s="3"/>
      <c r="L30" s="3"/>
      <c r="M30" s="3"/>
      <c r="N30" s="3"/>
      <c r="O30" s="3"/>
      <c r="P30" s="3"/>
      <c r="Q30" s="3"/>
    </row>
    <row r="31" spans="1:17" ht="60" customHeight="1" x14ac:dyDescent="0.25">
      <c r="A31" s="9">
        <f>IF(F31="","",ROW()-19-COUNTBLANK($F$20:F31))</f>
        <v>11</v>
      </c>
      <c r="B31" s="4" t="s">
        <v>3589</v>
      </c>
      <c r="C31" s="4" t="s">
        <v>3590</v>
      </c>
      <c r="D31" s="4" t="s">
        <v>3591</v>
      </c>
      <c r="E31" s="7" t="s">
        <v>3587</v>
      </c>
      <c r="F31" s="7" t="s">
        <v>3592</v>
      </c>
      <c r="G31" s="3" t="s">
        <v>50</v>
      </c>
      <c r="H31" s="3"/>
      <c r="I31" s="3"/>
      <c r="J31" s="3"/>
      <c r="K31" s="3"/>
      <c r="L31" s="3"/>
      <c r="M31" s="3"/>
      <c r="N31" s="3"/>
      <c r="O31" s="3"/>
      <c r="P31" s="3"/>
      <c r="Q31" s="3"/>
    </row>
    <row r="32" spans="1:17" ht="60" customHeight="1" x14ac:dyDescent="0.25">
      <c r="A32" s="9">
        <f>IF(F32="","",ROW()-19-COUNTBLANK($F$20:F32))</f>
        <v>12</v>
      </c>
      <c r="B32" s="4" t="s">
        <v>3593</v>
      </c>
      <c r="C32" s="4" t="s">
        <v>3594</v>
      </c>
      <c r="D32" s="4" t="s">
        <v>3595</v>
      </c>
      <c r="E32" s="7" t="s">
        <v>3587</v>
      </c>
      <c r="F32" s="7" t="s">
        <v>3596</v>
      </c>
      <c r="G32" s="3" t="s">
        <v>50</v>
      </c>
      <c r="H32" s="3"/>
      <c r="I32" s="3"/>
      <c r="J32" s="3"/>
      <c r="K32" s="3"/>
      <c r="L32" s="3"/>
      <c r="M32" s="3"/>
      <c r="N32" s="3"/>
      <c r="O32" s="3"/>
      <c r="P32" s="3"/>
      <c r="Q32" s="3"/>
    </row>
    <row r="33" spans="1:17" ht="60" customHeight="1" x14ac:dyDescent="0.25">
      <c r="A33" s="9">
        <f>IF(F33="","",ROW()-19-COUNTBLANK($F$20:F33))</f>
        <v>13</v>
      </c>
      <c r="B33" s="4" t="s">
        <v>3597</v>
      </c>
      <c r="C33" s="4" t="s">
        <v>3598</v>
      </c>
      <c r="D33" s="4" t="s">
        <v>3599</v>
      </c>
      <c r="E33" s="7" t="s">
        <v>3587</v>
      </c>
      <c r="F33" s="7" t="s">
        <v>3600</v>
      </c>
      <c r="G33" s="3" t="s">
        <v>50</v>
      </c>
      <c r="H33" s="3"/>
      <c r="I33" s="3"/>
      <c r="J33" s="3"/>
      <c r="K33" s="3"/>
      <c r="L33" s="3"/>
      <c r="M33" s="3"/>
      <c r="N33" s="3"/>
      <c r="O33" s="3"/>
      <c r="P33" s="3"/>
      <c r="Q33" s="3"/>
    </row>
    <row r="34" spans="1:17" ht="60" customHeight="1" x14ac:dyDescent="0.25">
      <c r="A34" s="9">
        <f>IF(F34="","",ROW()-19-COUNTBLANK($F$20:F34))</f>
        <v>14</v>
      </c>
      <c r="B34" s="4" t="s">
        <v>3601</v>
      </c>
      <c r="C34" s="4" t="s">
        <v>3602</v>
      </c>
      <c r="D34" s="4" t="s">
        <v>3603</v>
      </c>
      <c r="E34" s="7" t="s">
        <v>3604</v>
      </c>
      <c r="F34" s="7" t="s">
        <v>3588</v>
      </c>
      <c r="G34" s="3" t="s">
        <v>50</v>
      </c>
      <c r="H34" s="3"/>
      <c r="I34" s="3"/>
      <c r="J34" s="3"/>
      <c r="K34" s="3"/>
      <c r="L34" s="3"/>
      <c r="M34" s="3"/>
      <c r="N34" s="3"/>
      <c r="O34" s="3"/>
      <c r="P34" s="3"/>
      <c r="Q34" s="3"/>
    </row>
    <row r="35" spans="1:17" ht="60" customHeight="1" x14ac:dyDescent="0.25">
      <c r="A35" s="9">
        <f>IF(F35="","",ROW()-19-COUNTBLANK($F$20:F35))</f>
        <v>15</v>
      </c>
      <c r="B35" s="4" t="s">
        <v>3605</v>
      </c>
      <c r="C35" s="4" t="s">
        <v>3606</v>
      </c>
      <c r="D35" s="4" t="s">
        <v>3607</v>
      </c>
      <c r="E35" s="7" t="s">
        <v>3604</v>
      </c>
      <c r="F35" s="7" t="s">
        <v>3592</v>
      </c>
      <c r="G35" s="3" t="s">
        <v>50</v>
      </c>
      <c r="H35" s="3"/>
      <c r="I35" s="3"/>
      <c r="J35" s="3"/>
      <c r="K35" s="3"/>
      <c r="L35" s="3"/>
      <c r="M35" s="3"/>
      <c r="N35" s="3"/>
      <c r="O35" s="3"/>
      <c r="P35" s="3"/>
      <c r="Q35" s="3"/>
    </row>
    <row r="36" spans="1:17" ht="60" customHeight="1" x14ac:dyDescent="0.25">
      <c r="A36" s="9">
        <f>IF(F36="","",ROW()-19-COUNTBLANK($F$20:F36))</f>
        <v>16</v>
      </c>
      <c r="B36" s="4" t="s">
        <v>3608</v>
      </c>
      <c r="C36" s="4" t="s">
        <v>3609</v>
      </c>
      <c r="D36" s="4" t="s">
        <v>3595</v>
      </c>
      <c r="E36" s="7" t="s">
        <v>3604</v>
      </c>
      <c r="F36" s="7" t="s">
        <v>3596</v>
      </c>
      <c r="G36" s="3" t="s">
        <v>50</v>
      </c>
      <c r="H36" s="3"/>
      <c r="I36" s="3"/>
      <c r="J36" s="3"/>
      <c r="K36" s="3"/>
      <c r="L36" s="3"/>
      <c r="M36" s="3"/>
      <c r="N36" s="3"/>
      <c r="O36" s="3"/>
      <c r="P36" s="3"/>
      <c r="Q36" s="3"/>
    </row>
    <row r="37" spans="1:17" ht="60" customHeight="1" x14ac:dyDescent="0.25">
      <c r="A37" s="9">
        <f>IF(F37="","",ROW()-19-COUNTBLANK($F$20:F37))</f>
        <v>17</v>
      </c>
      <c r="B37" s="4" t="s">
        <v>3610</v>
      </c>
      <c r="C37" s="4" t="s">
        <v>3611</v>
      </c>
      <c r="D37" s="4" t="s">
        <v>3599</v>
      </c>
      <c r="E37" s="7" t="s">
        <v>3604</v>
      </c>
      <c r="F37" s="7" t="s">
        <v>3600</v>
      </c>
      <c r="G37" s="3" t="s">
        <v>50</v>
      </c>
      <c r="H37" s="3"/>
      <c r="I37" s="3"/>
      <c r="J37" s="3"/>
      <c r="K37" s="3"/>
      <c r="L37" s="3"/>
      <c r="M37" s="3"/>
      <c r="N37" s="3"/>
      <c r="O37" s="3"/>
      <c r="P37" s="3"/>
      <c r="Q37" s="3"/>
    </row>
    <row r="38" spans="1:17" ht="60" customHeight="1" x14ac:dyDescent="0.25">
      <c r="A38" s="9">
        <f>IF(F38="","",ROW()-19-COUNTBLANK($F$20:F38))</f>
        <v>18</v>
      </c>
      <c r="B38" s="4" t="s">
        <v>3612</v>
      </c>
      <c r="C38" s="4" t="s">
        <v>3613</v>
      </c>
      <c r="D38" s="4" t="s">
        <v>3614</v>
      </c>
      <c r="E38" s="7" t="s">
        <v>3615</v>
      </c>
      <c r="F38" s="7" t="s">
        <v>3616</v>
      </c>
      <c r="G38" s="3" t="s">
        <v>50</v>
      </c>
      <c r="H38" s="3"/>
      <c r="I38" s="3"/>
      <c r="J38" s="3"/>
      <c r="K38" s="3"/>
      <c r="L38" s="3"/>
      <c r="M38" s="3"/>
      <c r="N38" s="3"/>
      <c r="O38" s="3"/>
      <c r="P38" s="3"/>
      <c r="Q38" s="3"/>
    </row>
    <row r="39" spans="1:17" ht="60" customHeight="1" x14ac:dyDescent="0.25">
      <c r="A39" s="9">
        <f>IF(F39="","",ROW()-19-COUNTBLANK($F$20:F39))</f>
        <v>19</v>
      </c>
      <c r="B39" s="4" t="s">
        <v>3617</v>
      </c>
      <c r="C39" s="4" t="s">
        <v>3618</v>
      </c>
      <c r="D39" s="4" t="s">
        <v>3619</v>
      </c>
      <c r="E39" s="7" t="s">
        <v>3615</v>
      </c>
      <c r="F39" s="7" t="s">
        <v>3620</v>
      </c>
      <c r="G39" s="3" t="s">
        <v>50</v>
      </c>
      <c r="H39" s="3"/>
      <c r="I39" s="3"/>
      <c r="J39" s="3"/>
      <c r="K39" s="3"/>
      <c r="L39" s="3"/>
      <c r="M39" s="3"/>
      <c r="N39" s="3"/>
      <c r="O39" s="3"/>
      <c r="P39" s="3"/>
      <c r="Q39" s="3"/>
    </row>
    <row r="40" spans="1:17" ht="60" customHeight="1" x14ac:dyDescent="0.25">
      <c r="A40" s="9">
        <f>IF(F40="","",ROW()-19-COUNTBLANK($F$20:F40))</f>
        <v>20</v>
      </c>
      <c r="B40" s="4" t="s">
        <v>3621</v>
      </c>
      <c r="C40" s="4" t="s">
        <v>3622</v>
      </c>
      <c r="D40" s="4" t="s">
        <v>3623</v>
      </c>
      <c r="E40" s="7" t="s">
        <v>3615</v>
      </c>
      <c r="F40" s="7" t="s">
        <v>3624</v>
      </c>
      <c r="G40" s="3" t="s">
        <v>50</v>
      </c>
      <c r="H40" s="3"/>
      <c r="I40" s="3"/>
      <c r="J40" s="3"/>
      <c r="K40" s="3"/>
      <c r="L40" s="3"/>
      <c r="M40" s="3"/>
      <c r="N40" s="3"/>
      <c r="O40" s="3"/>
      <c r="P40" s="3"/>
      <c r="Q40" s="3"/>
    </row>
    <row r="41" spans="1:17" ht="60" customHeight="1" x14ac:dyDescent="0.25">
      <c r="A41" s="9">
        <f>IF(F41="","",ROW()-19-COUNTBLANK($F$20:F41))</f>
        <v>21</v>
      </c>
      <c r="B41" s="4" t="s">
        <v>3625</v>
      </c>
      <c r="C41" s="4" t="s">
        <v>3626</v>
      </c>
      <c r="D41" s="4" t="s">
        <v>3627</v>
      </c>
      <c r="E41" s="7" t="s">
        <v>3628</v>
      </c>
      <c r="F41" s="7" t="s">
        <v>3629</v>
      </c>
      <c r="G41" s="3" t="s">
        <v>50</v>
      </c>
      <c r="H41" s="3"/>
      <c r="I41" s="3"/>
      <c r="J41" s="3"/>
      <c r="K41" s="3"/>
      <c r="L41" s="3"/>
      <c r="M41" s="3"/>
      <c r="N41" s="3"/>
      <c r="O41" s="3"/>
      <c r="P41" s="3"/>
      <c r="Q41" s="3"/>
    </row>
    <row r="42" spans="1:17" ht="20.100000000000001" customHeight="1" x14ac:dyDescent="0.25">
      <c r="A42" s="9" t="str">
        <f>IF(F42="","",ROW()-19-COUNTBLANK($F$20:F42))</f>
        <v/>
      </c>
      <c r="B42" s="12" t="s">
        <v>3630</v>
      </c>
      <c r="C42" s="12"/>
      <c r="D42" s="12"/>
      <c r="E42" s="12"/>
      <c r="F42" s="12"/>
      <c r="G42" s="12"/>
      <c r="H42" s="12"/>
      <c r="I42" s="12"/>
      <c r="J42" s="12"/>
      <c r="K42" s="12"/>
      <c r="L42" s="12"/>
      <c r="M42" s="12"/>
      <c r="N42" s="12"/>
      <c r="O42" s="12"/>
      <c r="P42" s="12"/>
      <c r="Q42" s="12"/>
    </row>
    <row r="43" spans="1:17" ht="60" customHeight="1" x14ac:dyDescent="0.25">
      <c r="A43" s="9">
        <f>IF(F43="","",ROW()-19-COUNTBLANK($F$20:F43))</f>
        <v>22</v>
      </c>
      <c r="B43" s="4" t="s">
        <v>3631</v>
      </c>
      <c r="C43" s="4" t="s">
        <v>3632</v>
      </c>
      <c r="D43" s="4" t="s">
        <v>3633</v>
      </c>
      <c r="E43" s="7" t="s">
        <v>3634</v>
      </c>
      <c r="F43" s="7" t="s">
        <v>3635</v>
      </c>
      <c r="G43" s="3" t="s">
        <v>50</v>
      </c>
      <c r="H43" s="3"/>
      <c r="I43" s="3"/>
      <c r="J43" s="3"/>
      <c r="K43" s="3"/>
      <c r="L43" s="3"/>
      <c r="M43" s="3"/>
      <c r="N43" s="3"/>
      <c r="O43" s="3"/>
      <c r="P43" s="3"/>
      <c r="Q43" s="3"/>
    </row>
    <row r="44" spans="1:17" ht="60" customHeight="1" x14ac:dyDescent="0.25">
      <c r="A44" s="9">
        <f>IF(F44="","",ROW()-19-COUNTBLANK($F$20:F44))</f>
        <v>23</v>
      </c>
      <c r="B44" s="4" t="s">
        <v>3636</v>
      </c>
      <c r="C44" s="4" t="s">
        <v>3637</v>
      </c>
      <c r="D44" s="4" t="s">
        <v>3638</v>
      </c>
      <c r="E44" s="7" t="s">
        <v>3639</v>
      </c>
      <c r="F44" s="7" t="s">
        <v>3640</v>
      </c>
      <c r="G44" s="3" t="s">
        <v>50</v>
      </c>
      <c r="H44" s="3"/>
      <c r="I44" s="3"/>
      <c r="J44" s="3"/>
      <c r="K44" s="3"/>
      <c r="L44" s="3"/>
      <c r="M44" s="3"/>
      <c r="N44" s="3"/>
      <c r="O44" s="3"/>
      <c r="P44" s="3"/>
      <c r="Q44" s="3"/>
    </row>
    <row r="45" spans="1:17" ht="60" customHeight="1" x14ac:dyDescent="0.25">
      <c r="A45" s="9">
        <f>IF(F45="","",ROW()-19-COUNTBLANK($F$20:F45))</f>
        <v>24</v>
      </c>
      <c r="B45" s="4" t="s">
        <v>3641</v>
      </c>
      <c r="C45" s="4" t="s">
        <v>3642</v>
      </c>
      <c r="D45" s="4" t="s">
        <v>3643</v>
      </c>
      <c r="E45" s="7" t="s">
        <v>3644</v>
      </c>
      <c r="F45" s="7" t="s">
        <v>3645</v>
      </c>
      <c r="G45" s="3" t="s">
        <v>50</v>
      </c>
      <c r="H45" s="3"/>
      <c r="I45" s="3"/>
      <c r="J45" s="3"/>
      <c r="K45" s="3"/>
      <c r="L45" s="3"/>
      <c r="M45" s="3"/>
      <c r="N45" s="3"/>
      <c r="O45" s="3"/>
      <c r="P45" s="3"/>
      <c r="Q45" s="3"/>
    </row>
    <row r="46" spans="1:17" ht="60" customHeight="1" x14ac:dyDescent="0.25">
      <c r="A46" s="9">
        <f>IF(F46="","",ROW()-19-COUNTBLANK($F$20:F46))</f>
        <v>25</v>
      </c>
      <c r="B46" s="4" t="s">
        <v>3646</v>
      </c>
      <c r="C46" s="4" t="s">
        <v>3647</v>
      </c>
      <c r="D46" s="4" t="s">
        <v>3648</v>
      </c>
      <c r="E46" s="7" t="s">
        <v>3649</v>
      </c>
      <c r="F46" s="7" t="s">
        <v>3650</v>
      </c>
      <c r="G46" s="3" t="s">
        <v>50</v>
      </c>
      <c r="H46" s="3"/>
      <c r="I46" s="3"/>
      <c r="J46" s="3"/>
      <c r="K46" s="3"/>
      <c r="L46" s="3"/>
      <c r="M46" s="3"/>
      <c r="N46" s="3"/>
      <c r="O46" s="3"/>
      <c r="P46" s="3"/>
      <c r="Q46" s="3"/>
    </row>
    <row r="47" spans="1:17" ht="20.100000000000001" customHeight="1" x14ac:dyDescent="0.25">
      <c r="A47" s="9" t="str">
        <f>IF(F47="","",ROW()-19-COUNTBLANK($F$20:F47))</f>
        <v/>
      </c>
      <c r="B47" s="12" t="s">
        <v>3651</v>
      </c>
      <c r="C47" s="12"/>
      <c r="D47" s="12"/>
      <c r="E47" s="12"/>
      <c r="F47" s="12"/>
      <c r="G47" s="12"/>
      <c r="H47" s="12"/>
      <c r="I47" s="12"/>
      <c r="J47" s="12"/>
      <c r="K47" s="12"/>
      <c r="L47" s="12"/>
      <c r="M47" s="12"/>
      <c r="N47" s="12"/>
      <c r="O47" s="12"/>
      <c r="P47" s="12"/>
      <c r="Q47" s="12"/>
    </row>
    <row r="48" spans="1:17" ht="60" customHeight="1" x14ac:dyDescent="0.25">
      <c r="A48" s="9">
        <f>IF(F48="","",ROW()-19-COUNTBLANK($F$20:F48))</f>
        <v>26</v>
      </c>
      <c r="B48" s="4" t="s">
        <v>3652</v>
      </c>
      <c r="C48" s="4" t="s">
        <v>3653</v>
      </c>
      <c r="D48" s="4" t="s">
        <v>3654</v>
      </c>
      <c r="E48" s="7" t="s">
        <v>3655</v>
      </c>
      <c r="F48" s="7" t="s">
        <v>3656</v>
      </c>
      <c r="G48" s="3" t="s">
        <v>55</v>
      </c>
      <c r="H48" s="3"/>
      <c r="I48" s="3"/>
      <c r="J48" s="3"/>
      <c r="K48" s="3"/>
      <c r="L48" s="3"/>
      <c r="M48" s="3"/>
      <c r="N48" s="3"/>
      <c r="O48" s="3"/>
      <c r="P48" s="3"/>
      <c r="Q48" s="3"/>
    </row>
    <row r="49" spans="1:17" ht="20.100000000000001" customHeight="1" x14ac:dyDescent="0.25">
      <c r="A49" s="9" t="str">
        <f>IF(F49="","",ROW()-19-COUNTBLANK($F$20:F49))</f>
        <v/>
      </c>
      <c r="B49" s="12" t="s">
        <v>3657</v>
      </c>
      <c r="C49" s="12"/>
      <c r="D49" s="12"/>
      <c r="E49" s="12"/>
      <c r="F49" s="12"/>
      <c r="G49" s="12"/>
      <c r="H49" s="12"/>
      <c r="I49" s="12"/>
      <c r="J49" s="12"/>
      <c r="K49" s="12"/>
      <c r="L49" s="12"/>
      <c r="M49" s="12"/>
      <c r="N49" s="12"/>
      <c r="O49" s="12"/>
      <c r="P49" s="12"/>
      <c r="Q49" s="12"/>
    </row>
    <row r="50" spans="1:17" ht="60" customHeight="1" x14ac:dyDescent="0.25">
      <c r="A50" s="9">
        <f>IF(F50="","",ROW()-19-COUNTBLANK($F$20:F50))</f>
        <v>27</v>
      </c>
      <c r="B50" s="4" t="s">
        <v>3658</v>
      </c>
      <c r="C50" s="4" t="s">
        <v>3659</v>
      </c>
      <c r="D50" s="4"/>
      <c r="E50" s="7" t="s">
        <v>3660</v>
      </c>
      <c r="F50" s="7" t="s">
        <v>3661</v>
      </c>
      <c r="G50" s="3" t="s">
        <v>50</v>
      </c>
      <c r="H50" s="3"/>
      <c r="I50" s="3"/>
      <c r="J50" s="3"/>
      <c r="K50" s="3"/>
      <c r="L50" s="3"/>
      <c r="M50" s="3"/>
      <c r="N50" s="3"/>
      <c r="O50" s="3"/>
      <c r="P50" s="3"/>
      <c r="Q50" s="3"/>
    </row>
    <row r="51" spans="1:17" ht="60" customHeight="1" x14ac:dyDescent="0.25">
      <c r="A51" s="9">
        <f>IF(F51="","",ROW()-19-COUNTBLANK($F$20:F51))</f>
        <v>28</v>
      </c>
      <c r="B51" s="4" t="s">
        <v>3662</v>
      </c>
      <c r="C51" s="4" t="s">
        <v>2127</v>
      </c>
      <c r="D51" s="4"/>
      <c r="E51" s="7" t="s">
        <v>3663</v>
      </c>
      <c r="F51" s="7" t="s">
        <v>3664</v>
      </c>
      <c r="G51" s="3" t="s">
        <v>50</v>
      </c>
      <c r="H51" s="3"/>
      <c r="I51" s="3"/>
      <c r="J51" s="3"/>
      <c r="K51" s="3"/>
      <c r="L51" s="3"/>
      <c r="M51" s="3"/>
      <c r="N51" s="3"/>
      <c r="O51" s="3"/>
      <c r="P51" s="3"/>
      <c r="Q51" s="3"/>
    </row>
    <row r="52" spans="1:17" ht="20.100000000000001" customHeight="1" x14ac:dyDescent="0.25">
      <c r="A52" s="9" t="str">
        <f>IF(F52="","",ROW()-19-COUNTBLANK($F$20:F52))</f>
        <v/>
      </c>
      <c r="B52" s="12" t="s">
        <v>3665</v>
      </c>
      <c r="C52" s="12"/>
      <c r="D52" s="12"/>
      <c r="E52" s="12"/>
      <c r="F52" s="12"/>
      <c r="G52" s="12"/>
      <c r="H52" s="12"/>
      <c r="I52" s="12"/>
      <c r="J52" s="12"/>
      <c r="K52" s="12"/>
      <c r="L52" s="12"/>
      <c r="M52" s="12"/>
      <c r="N52" s="12"/>
      <c r="O52" s="12"/>
      <c r="P52" s="12"/>
      <c r="Q52" s="12"/>
    </row>
    <row r="53" spans="1:17" ht="60" customHeight="1" x14ac:dyDescent="0.25">
      <c r="A53" s="9">
        <f>IF(F53="","",ROW()-19-COUNTBLANK($F$20:F53))</f>
        <v>29</v>
      </c>
      <c r="B53" s="4" t="s">
        <v>3666</v>
      </c>
      <c r="C53" s="4" t="s">
        <v>3667</v>
      </c>
      <c r="D53" s="4" t="s">
        <v>3668</v>
      </c>
      <c r="E53" s="7" t="s">
        <v>3669</v>
      </c>
      <c r="F53" s="7" t="s">
        <v>3670</v>
      </c>
      <c r="G53" s="3" t="s">
        <v>50</v>
      </c>
      <c r="H53" s="3"/>
      <c r="I53" s="3"/>
      <c r="J53" s="3"/>
      <c r="K53" s="3"/>
      <c r="L53" s="3"/>
      <c r="M53" s="3"/>
      <c r="N53" s="3"/>
      <c r="O53" s="3"/>
      <c r="P53" s="3"/>
      <c r="Q53" s="3"/>
    </row>
    <row r="54" spans="1:17" ht="60" customHeight="1" x14ac:dyDescent="0.25">
      <c r="A54" s="9">
        <f>IF(F54="","",ROW()-19-COUNTBLANK($F$20:F54))</f>
        <v>30</v>
      </c>
      <c r="B54" s="4" t="s">
        <v>3671</v>
      </c>
      <c r="C54" s="4" t="s">
        <v>3672</v>
      </c>
      <c r="D54" s="4" t="s">
        <v>3673</v>
      </c>
      <c r="E54" s="7" t="s">
        <v>3674</v>
      </c>
      <c r="F54" s="7" t="s">
        <v>3675</v>
      </c>
      <c r="G54" s="3" t="s">
        <v>50</v>
      </c>
      <c r="H54" s="3"/>
      <c r="I54" s="3"/>
      <c r="J54" s="3"/>
      <c r="K54" s="3"/>
      <c r="L54" s="3"/>
      <c r="M54" s="3"/>
      <c r="N54" s="3"/>
      <c r="O54" s="3"/>
      <c r="P54" s="3"/>
      <c r="Q54" s="3"/>
    </row>
    <row r="55" spans="1:17" ht="60" customHeight="1" x14ac:dyDescent="0.25">
      <c r="A55" s="9">
        <f>IF(F55="","",ROW()-19-COUNTBLANK($F$20:F55))</f>
        <v>31</v>
      </c>
      <c r="B55" s="4" t="s">
        <v>3676</v>
      </c>
      <c r="C55" s="4" t="s">
        <v>3677</v>
      </c>
      <c r="D55" s="4" t="s">
        <v>3678</v>
      </c>
      <c r="E55" s="7" t="s">
        <v>3679</v>
      </c>
      <c r="F55" s="7" t="s">
        <v>3680</v>
      </c>
      <c r="G55" s="3" t="s">
        <v>50</v>
      </c>
      <c r="H55" s="3"/>
      <c r="I55" s="3"/>
      <c r="J55" s="3"/>
      <c r="K55" s="3"/>
      <c r="L55" s="3"/>
      <c r="M55" s="3"/>
      <c r="N55" s="3"/>
      <c r="O55" s="3"/>
      <c r="P55" s="3"/>
      <c r="Q55" s="3"/>
    </row>
    <row r="56" spans="1:17" ht="60" customHeight="1" x14ac:dyDescent="0.25">
      <c r="A56" s="9">
        <f>IF(F56="","",ROW()-19-COUNTBLANK($F$20:F56))</f>
        <v>32</v>
      </c>
      <c r="B56" s="4" t="s">
        <v>3681</v>
      </c>
      <c r="C56" s="4" t="s">
        <v>3682</v>
      </c>
      <c r="D56" s="4" t="s">
        <v>3683</v>
      </c>
      <c r="E56" s="7" t="s">
        <v>3684</v>
      </c>
      <c r="F56" s="7" t="s">
        <v>3685</v>
      </c>
      <c r="G56" s="3" t="s">
        <v>55</v>
      </c>
      <c r="H56" s="3"/>
      <c r="I56" s="3"/>
      <c r="J56" s="3"/>
      <c r="K56" s="3"/>
      <c r="L56" s="3"/>
      <c r="M56" s="3"/>
      <c r="N56" s="3"/>
      <c r="O56" s="3"/>
      <c r="P56" s="3"/>
      <c r="Q56" s="3"/>
    </row>
    <row r="57" spans="1:17" ht="20.100000000000001" customHeight="1" x14ac:dyDescent="0.25">
      <c r="A57" s="9" t="str">
        <f>IF(F57="","",ROW()-19-COUNTBLANK($F$20:F57))</f>
        <v/>
      </c>
      <c r="B57" s="12" t="s">
        <v>3686</v>
      </c>
      <c r="C57" s="12"/>
      <c r="D57" s="12"/>
      <c r="E57" s="12"/>
      <c r="F57" s="12"/>
      <c r="G57" s="12"/>
      <c r="H57" s="12"/>
      <c r="I57" s="12"/>
      <c r="J57" s="12"/>
      <c r="K57" s="12"/>
      <c r="L57" s="12"/>
      <c r="M57" s="12"/>
      <c r="N57" s="12"/>
      <c r="O57" s="12"/>
      <c r="P57" s="12"/>
      <c r="Q57" s="12"/>
    </row>
    <row r="58" spans="1:17" ht="60" customHeight="1" x14ac:dyDescent="0.25">
      <c r="A58" s="9">
        <f>IF(F58="","",ROW()-19-COUNTBLANK($F$20:F58))</f>
        <v>33</v>
      </c>
      <c r="B58" s="4" t="s">
        <v>3687</v>
      </c>
      <c r="C58" s="4" t="s">
        <v>3688</v>
      </c>
      <c r="D58" s="4" t="s">
        <v>3689</v>
      </c>
      <c r="E58" s="7" t="s">
        <v>3690</v>
      </c>
      <c r="F58" s="7" t="s">
        <v>3691</v>
      </c>
      <c r="G58" s="3" t="s">
        <v>55</v>
      </c>
      <c r="H58" s="3"/>
      <c r="I58" s="3"/>
      <c r="J58" s="3"/>
      <c r="K58" s="3"/>
      <c r="L58" s="3"/>
      <c r="M58" s="3"/>
      <c r="N58" s="3"/>
      <c r="O58" s="3"/>
      <c r="P58" s="3"/>
      <c r="Q58" s="3"/>
    </row>
  </sheetData>
  <mergeCells count="16">
    <mergeCell ref="B19:F19"/>
    <mergeCell ref="B18:F18"/>
    <mergeCell ref="I16:N16"/>
    <mergeCell ref="A15:A17"/>
    <mergeCell ref="B15:B17"/>
    <mergeCell ref="E15:E17"/>
    <mergeCell ref="F15:F17"/>
    <mergeCell ref="B1:F1"/>
    <mergeCell ref="I15:N15"/>
    <mergeCell ref="D15:D17"/>
    <mergeCell ref="C15:C17"/>
    <mergeCell ref="H15:H17"/>
    <mergeCell ref="Q15:Q17"/>
    <mergeCell ref="O15:O17"/>
    <mergeCell ref="P15:P17"/>
    <mergeCell ref="G15:G1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Tổng hợp</vt:lpstr>
      <vt:lpstr>M1_DanhSach</vt:lpstr>
      <vt:lpstr>M2_ChiTiet_D10D11</vt:lpstr>
      <vt:lpstr>M3_ChiTiet_Q11</vt:lpstr>
      <vt:lpstr>M4_XuLy_D10D11</vt:lpstr>
      <vt:lpstr>M5_XuLy_Q11</vt:lpstr>
      <vt:lpstr>M7_XuLyDongThoi</vt:lpstr>
      <vt:lpstr>M8_NghiepVu_TichHop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Dung Ninh</cp:lastModifiedBy>
  <dcterms:created xsi:type="dcterms:W3CDTF">2026-10-12T10:59:40Z</dcterms:created>
  <dcterms:modified xsi:type="dcterms:W3CDTF">2026-10-13T01:35:38Z</dcterms:modified>
</cp:coreProperties>
</file>